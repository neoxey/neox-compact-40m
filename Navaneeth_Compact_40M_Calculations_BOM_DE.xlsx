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arameter_und_Einheiten" sheetId="1" state="visible" r:id="rId1"/>
    <sheet xmlns:r="http://schemas.openxmlformats.org/officeDocument/2006/relationships" name="Geometrie" sheetId="2" state="visible" r:id="rId2"/>
    <sheet xmlns:r="http://schemas.openxmlformats.org/officeDocument/2006/relationships" name="Wickelkapazitaet" sheetId="3" state="visible" r:id="rId3"/>
    <sheet xmlns:r="http://schemas.openxmlformats.org/officeDocument/2006/relationships" name="Drehzahl_und_Zeit" sheetId="4" state="visible" r:id="rId4"/>
    <sheet xmlns:r="http://schemas.openxmlformats.org/officeDocument/2006/relationships" name="Drehmoment_und_Kraefte" sheetId="5" state="visible" r:id="rId5"/>
    <sheet xmlns:r="http://schemas.openxmlformats.org/officeDocument/2006/relationships" name="Welle_und_Lager" sheetId="6" state="visible" r:id="rId6"/>
    <sheet xmlns:r="http://schemas.openxmlformats.org/officeDocument/2006/relationships" name="Rahmen_und_Festigkeit" sheetId="7" state="visible" r:id="rId7"/>
    <sheet xmlns:r="http://schemas.openxmlformats.org/officeDocument/2006/relationships" name="Massenbudget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Fastener_Register" sheetId="10" state="visible" r:id="rId10"/>
    <sheet xmlns:r="http://schemas.openxmlformats.org/officeDocument/2006/relationships" name="Verbindungen" sheetId="11" state="visible" r:id="rId11"/>
    <sheet xmlns:r="http://schemas.openxmlformats.org/officeDocument/2006/relationships" name="Validierung_und_Risiken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+0.00;\-0.00;0.00"/>
    <numFmt numFmtId="165" formatCode="0.0"/>
    <numFmt numFmtId="166" formatCode="0.000"/>
  </numFmts>
  <fonts count="12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5"/>
    </font>
    <font>
      <name val="Calibri"/>
      <charset val="1"/>
      <family val="0"/>
      <i val="1"/>
      <color rgb="FFE2E8F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E293B"/>
      <sz val="10"/>
    </font>
    <font>
      <name val="Calibri"/>
      <charset val="1"/>
      <family val="0"/>
      <b val="1"/>
      <color rgb="FF1E293B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B365D"/>
        <bgColor rgb="FF1E293B"/>
      </patternFill>
    </fill>
    <fill>
      <patternFill patternType="solid">
        <fgColor rgb="FF007A78"/>
        <bgColor rgb="FF008080"/>
      </patternFill>
    </fill>
    <fill>
      <patternFill patternType="solid">
        <fgColor rgb="FFD1E7DD"/>
        <bgColor rgb="FFD9E2EC"/>
      </patternFill>
    </fill>
    <fill>
      <patternFill patternType="solid">
        <fgColor rgb="FFF4F7FA"/>
        <bgColor rgb="FFF9F9F9"/>
      </patternFill>
    </fill>
    <fill>
      <patternFill patternType="solid">
        <fgColor rgb="FFFFF3CD"/>
        <bgColor rgb="FFF9F9F9"/>
      </patternFill>
    </fill>
    <fill>
      <patternFill patternType="solid">
        <fgColor rgb="FFF8D7DA"/>
        <bgColor rgb="FFD9D9D9"/>
      </patternFill>
    </fill>
    <fill>
      <patternFill patternType="solid">
        <fgColor rgb="FFD9E2EC"/>
        <b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2" fontId="7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2" fontId="7" fillId="5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right" vertical="center" wrapText="1"/>
    </xf>
    <xf numFmtId="166" fontId="7" fillId="0" borderId="1" applyAlignment="1" pivotButton="0" quotePrefix="0" xfId="0">
      <alignment horizontal="right" vertical="center" wrapText="1"/>
    </xf>
    <xf numFmtId="166" fontId="7" fillId="5" borderId="1" applyAlignment="1" pivotButton="0" quotePrefix="0" xfId="0">
      <alignment horizontal="right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2" fontId="8" fillId="8" borderId="2" applyAlignment="1" pivotButton="0" quotePrefix="0" xfId="0">
      <alignment horizontal="right" vertical="center" wrapText="1"/>
    </xf>
    <xf numFmtId="1" fontId="8" fillId="8" borderId="2" applyAlignment="1" pivotButton="0" quotePrefix="0" xfId="0">
      <alignment horizontal="center" vertical="center" wrapText="1"/>
    </xf>
    <xf numFmtId="166" fontId="8" fillId="8" borderId="2" applyAlignment="1" pivotButton="0" quotePrefix="0" xfId="0">
      <alignment horizontal="right" vertical="center" wrapText="1"/>
    </xf>
    <xf numFmtId="165" fontId="7" fillId="5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2" fontId="7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2" fontId="7" fillId="5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right" vertical="center" wrapText="1"/>
    </xf>
    <xf numFmtId="166" fontId="7" fillId="0" borderId="1" applyAlignment="1" pivotButton="0" quotePrefix="0" xfId="0">
      <alignment horizontal="right" vertical="center" wrapText="1"/>
    </xf>
    <xf numFmtId="166" fontId="7" fillId="5" borderId="1" applyAlignment="1" pivotButton="0" quotePrefix="0" xfId="0">
      <alignment horizontal="right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2" fontId="8" fillId="8" borderId="2" applyAlignment="1" pivotButton="0" quotePrefix="0" xfId="0">
      <alignment horizontal="right" vertical="center" wrapText="1"/>
    </xf>
    <xf numFmtId="1" fontId="8" fillId="8" borderId="2" applyAlignment="1" pivotButton="0" quotePrefix="0" xfId="0">
      <alignment horizontal="center" vertical="center" wrapText="1"/>
    </xf>
    <xf numFmtId="166" fontId="8" fillId="8" borderId="2" applyAlignment="1" pivotButton="0" quotePrefix="0" xfId="0">
      <alignment horizontal="right" vertical="center" wrapText="1"/>
    </xf>
    <xf numFmtId="165" fontId="7" fillId="5" borderId="1" applyAlignment="1" pivotButton="0" quotePrefix="0" xfId="0">
      <alignment horizontal="righ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A78"/>
      <rgbColor rgb="FFD9D9D9"/>
      <rgbColor rgb="FF878787"/>
      <rgbColor rgb="FF9999FF"/>
      <rgbColor rgb="FF993366"/>
      <rgbColor rgb="FFFFF3CD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A"/>
      <rgbColor rgb="FFD1E7DD"/>
      <rgbColor rgb="FFF9F9F9"/>
      <rgbColor rgb="FFD9E2EC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Rollenradius R_coil [mm] nach Wickelmodus (Flanschgrenze R = 110 mm)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Wickelkapazitaet!F4</f>
              <strCache>
                <ptCount val="1"/>
                <pt idx="0">
                  <v>Berechneter Rollenradius R_coil [mm]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Wickelkapazitaet!$A$5:$A$11</f>
              <strCache>
                <ptCount val="7"/>
                <pt idx="0">
                  <v>CAP-01</v>
                </pt>
                <pt idx="1">
                  <v>CAP-02</v>
                </pt>
                <pt idx="2">
                  <v>CAP-03</v>
                </pt>
                <pt idx="3">
                  <v>CAP-04</v>
                </pt>
                <pt idx="4">
                  <v>CAP-05</v>
                </pt>
                <pt idx="5">
                  <v>CAP-06</v>
                </pt>
                <pt idx="6">
                  <v>CAP-07</v>
                </pt>
              </strCache>
            </strRef>
          </cat>
          <val>
            <numRef>
              <f>Wickelkapazitaet!$F$5:$F$11</f>
              <numCache>
                <formatCode>General</formatCode>
                <ptCount val="7"/>
                <pt idx="0">
                  <v>96.5449435885163</v>
                </pt>
                <pt idx="1">
                  <v>96.583806911458</v>
                </pt>
                <pt idx="2">
                  <v>90.6684068041419</v>
                </pt>
                <pt idx="3">
                  <v>104.7790810316</v>
                </pt>
                <pt idx="4">
                  <v>107.712923095048</v>
                </pt>
                <pt idx="5">
                  <v>172.601304036323</v>
                </pt>
                <pt idx="6">
                  <v>146.990131628036</v>
                </pt>
              </numCache>
            </numRef>
          </val>
        </ser>
        <gapWidth val="150"/>
        <overlap val="0"/>
        <axId val="52020828"/>
        <axId val="92131770"/>
      </barChart>
      <catAx>
        <axId val="5202082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Szenario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2131770"/>
        <crosses val="autoZero"/>
        <auto val="1"/>
        <lblAlgn val="ctr"/>
        <lblOffset val="100"/>
        <noMultiLvlLbl val="0"/>
      </catAx>
      <valAx>
        <axId val="9213177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Radius [mm]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20208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13</row>
      <rowOff>0</rowOff>
    </from>
    <to>
      <col>3</col>
      <colOff>1051920</colOff>
      <row>31</row>
      <rowOff>170280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9" min="1" max="1"/>
    <col width="42" customWidth="1" style="29" min="2" max="2"/>
    <col width="16" customWidth="1" style="29" min="3" max="4"/>
    <col width="12" customWidth="1" style="29" min="5" max="5"/>
    <col width="42" customWidth="1" style="29" min="6" max="6"/>
    <col width="36" customWidth="1" style="29" min="7" max="7"/>
  </cols>
  <sheetData>
    <row r="1" ht="25.5" customHeight="1" s="30">
      <c r="A1" s="31" t="inlineStr">
        <is>
          <t>Navaneeth Compact 40M v2.0 – Parameter und Einheiten</t>
        </is>
      </c>
    </row>
    <row r="2" ht="18" customHeight="1" s="30">
      <c r="A2" s="32" t="inlineStr">
        <is>
          <t>Verbindliche Master-Parameter, Herstellerspezifikationen, Einheiten und Unsicherheitskennzeichnung</t>
        </is>
      </c>
    </row>
    <row r="3"/>
    <row r="4" ht="24" customHeight="1" s="30">
      <c r="A4" s="33" t="inlineStr">
        <is>
          <t>Parameter-ID</t>
        </is>
      </c>
      <c r="B4" s="33" t="inlineStr">
        <is>
          <t>Bezeichnung</t>
        </is>
      </c>
      <c r="C4" s="33" t="inlineStr">
        <is>
          <t>Symbol</t>
        </is>
      </c>
      <c r="D4" s="33" t="inlineStr">
        <is>
          <t>Wert</t>
        </is>
      </c>
      <c r="E4" s="33" t="inlineStr">
        <is>
          <t>Einheit</t>
        </is>
      </c>
      <c r="F4" s="33" t="inlineStr">
        <is>
          <t>Quelle / Nachweis</t>
        </is>
      </c>
      <c r="G4" s="33" t="inlineStr">
        <is>
          <t>Status / Unsicherheit</t>
        </is>
      </c>
    </row>
    <row r="5" ht="19.5" customHeight="1" s="30">
      <c r="A5" s="34" t="inlineStr">
        <is>
          <t>PAR-01</t>
        </is>
      </c>
      <c r="B5" s="35" t="inlineStr">
        <is>
          <t>Gesamtlänge Flach-Tropfband</t>
        </is>
      </c>
      <c r="C5" s="34" t="inlineStr">
        <is>
          <t>L_tape</t>
        </is>
      </c>
      <c r="D5" s="36" t="n">
        <v>40000</v>
      </c>
      <c r="E5" s="34" t="inlineStr">
        <is>
          <t>mm</t>
        </is>
      </c>
      <c r="F5" s="35" t="inlineStr">
        <is>
          <t>Master-Spezifikation / Allwin Gold</t>
        </is>
      </c>
      <c r="G5" s="37" t="inlineStr">
        <is>
          <t>VALIDIERT (Feste Anforderung)</t>
        </is>
      </c>
    </row>
    <row r="6" ht="19.5" customHeight="1" s="30">
      <c r="A6" s="38" t="inlineStr">
        <is>
          <t>PAR-02</t>
        </is>
      </c>
      <c r="B6" s="39" t="inlineStr">
        <is>
          <t>Liegebreite Flach-Tropfband (flach)</t>
        </is>
      </c>
      <c r="C6" s="38" t="inlineStr">
        <is>
          <t>W_tape</t>
        </is>
      </c>
      <c r="D6" s="40" t="n">
        <v>25</v>
      </c>
      <c r="E6" s="38" t="inlineStr">
        <is>
          <t>mm</t>
        </is>
      </c>
      <c r="F6" s="39" t="inlineStr">
        <is>
          <t>Allwin Pipes Erode (Toleranz 24,5..25,5 mm)</t>
        </is>
      </c>
      <c r="G6" s="37" t="inlineStr">
        <is>
          <t>VALIDIERT (Messung vor Serie)</t>
        </is>
      </c>
    </row>
    <row r="7" ht="19.5" customHeight="1" s="30">
      <c r="A7" s="34" t="inlineStr">
        <is>
          <t>PAR-03</t>
        </is>
      </c>
      <c r="B7" s="35" t="inlineStr">
        <is>
          <t>Nominaler Innendurchmesser (aufgeblasen)</t>
        </is>
      </c>
      <c r="C7" s="34" t="inlineStr">
        <is>
          <t>D_in_tape</t>
        </is>
      </c>
      <c r="D7" s="36" t="n">
        <v>16</v>
      </c>
      <c r="E7" s="34" t="inlineStr">
        <is>
          <t>mm</t>
        </is>
      </c>
      <c r="F7" s="35" t="inlineStr">
        <is>
          <t>Allwin Gold ISI 16 mm Drip Tape</t>
        </is>
      </c>
      <c r="G7" s="37" t="inlineStr">
        <is>
          <t>VALIDIERT (Herstellerangabe)</t>
        </is>
      </c>
    </row>
    <row r="8" ht="19.5" customHeight="1" s="30">
      <c r="A8" s="38" t="inlineStr">
        <is>
          <t>PAR-04</t>
        </is>
      </c>
      <c r="B8" s="39" t="inlineStr">
        <is>
          <t>Effektive Doppelwandstärke inkl. Emitter</t>
        </is>
      </c>
      <c r="C8" s="38" t="inlineStr">
        <is>
          <t>t_eff</t>
        </is>
      </c>
      <c r="D8" s="40" t="n">
        <v>1.5</v>
      </c>
      <c r="E8" s="38" t="inlineStr">
        <is>
          <t>mm</t>
        </is>
      </c>
      <c r="F8" s="39" t="inlineStr">
        <is>
          <t>Einzelwand 0,7 mm + Emitter 2,2..3,0 mm gemittelt</t>
        </is>
      </c>
      <c r="G8" s="41" t="inlineStr">
        <is>
          <t>ANNAHME (Physisch zu prüfen)</t>
        </is>
      </c>
    </row>
    <row r="9" ht="19.5" customHeight="1" s="30">
      <c r="A9" s="34" t="inlineStr">
        <is>
          <t>PAR-05</t>
        </is>
      </c>
      <c r="B9" s="35" t="inlineStr">
        <is>
          <t>Minimaler trockener Biegeradius Band</t>
        </is>
      </c>
      <c r="C9" s="34" t="inlineStr">
        <is>
          <t>R_bend_min</t>
        </is>
      </c>
      <c r="D9" s="36" t="n">
        <v>48</v>
      </c>
      <c r="E9" s="34" t="inlineStr">
        <is>
          <t>mm</t>
        </is>
      </c>
      <c r="F9" s="35" t="inlineStr">
        <is>
          <t>Allwin Gold Spezifikation trocken</t>
        </is>
      </c>
      <c r="G9" s="37" t="inlineStr">
        <is>
          <t>VALIDIERT (Grenzwert R &gt;= 48 mm)</t>
        </is>
      </c>
    </row>
    <row r="10" ht="19.5" customHeight="1" s="30">
      <c r="A10" s="38" t="inlineStr">
        <is>
          <t>PAR-06</t>
        </is>
      </c>
      <c r="B10" s="39" t="inlineStr">
        <is>
          <t>Wickel-Packungsfaktor (4-Spur-Traverse)</t>
        </is>
      </c>
      <c r="C10" s="38" t="inlineStr">
        <is>
          <t>eta_pack</t>
        </is>
      </c>
      <c r="D10" s="40" t="n">
        <v>0.7</v>
      </c>
      <c r="E10" s="38" t="inlineStr">
        <is>
          <t>-</t>
        </is>
      </c>
      <c r="F10" s="39" t="inlineStr">
        <is>
          <t>Konservative Annahme inkl. Emitter-Hohlräumen</t>
        </is>
      </c>
      <c r="G10" s="41" t="inlineStr">
        <is>
          <t>ANNAHME (Physisch zu prüfen)</t>
        </is>
      </c>
    </row>
    <row r="11" ht="19.5" customHeight="1" s="30">
      <c r="A11" s="34" t="inlineStr">
        <is>
          <t>PAR-07</t>
        </is>
      </c>
      <c r="B11" s="35" t="inlineStr">
        <is>
          <t>Anzahl axialer Bandspuren auf Trommel</t>
        </is>
      </c>
      <c r="C11" s="34" t="inlineStr">
        <is>
          <t>N_lanes</t>
        </is>
      </c>
      <c r="D11" s="36" t="n">
        <v>4</v>
      </c>
      <c r="E11" s="34" t="inlineStr">
        <is>
          <t>-</t>
        </is>
      </c>
      <c r="F11" s="35" t="inlineStr">
        <is>
          <t>1 durchgehendes 40m-Band über 4 Spuren à 10m</t>
        </is>
      </c>
      <c r="G11" s="37" t="inlineStr">
        <is>
          <t>VALIDIERT (REV-06 Traverse)</t>
        </is>
      </c>
    </row>
    <row r="12" ht="19.5" customHeight="1" s="30">
      <c r="A12" s="38" t="inlineStr">
        <is>
          <t>PAR-08</t>
        </is>
      </c>
      <c r="B12" s="39" t="inlineStr">
        <is>
          <t>Spurabstand / Übergangsstufe</t>
        </is>
      </c>
      <c r="C12" s="38" t="inlineStr">
        <is>
          <t>s_lane</t>
        </is>
      </c>
      <c r="D12" s="40" t="n">
        <v>1</v>
      </c>
      <c r="E12" s="38" t="inlineStr">
        <is>
          <t>mm</t>
        </is>
      </c>
      <c r="F12" s="39" t="inlineStr">
        <is>
          <t>Geometriedefinition X = 6,5 + 26*i</t>
        </is>
      </c>
      <c r="G12" s="37" t="inlineStr">
        <is>
          <t>VALIDIERT (CAD-Geometrie)</t>
        </is>
      </c>
    </row>
    <row r="13" ht="19.5" customHeight="1" s="30">
      <c r="A13" s="34" t="inlineStr">
        <is>
          <t>PAR-09</t>
        </is>
      </c>
      <c r="B13" s="35" t="inlineStr">
        <is>
          <t>Nutzbare Konuslänge Trommel</t>
        </is>
      </c>
      <c r="C13" s="34" t="inlineStr">
        <is>
          <t>L_cone</t>
        </is>
      </c>
      <c r="D13" s="36" t="n">
        <v>110</v>
      </c>
      <c r="E13" s="34" t="inlineStr">
        <is>
          <t>mm</t>
        </is>
      </c>
      <c r="F13" s="35" t="inlineStr">
        <is>
          <t>X = 3,0 mm bis X = 113,0 mm</t>
        </is>
      </c>
      <c r="G13" s="37" t="inlineStr">
        <is>
          <t>VALIDIERT (CAD-Geometrie)</t>
        </is>
      </c>
    </row>
    <row r="14" ht="19.5" customHeight="1" s="30">
      <c r="A14" s="38" t="inlineStr">
        <is>
          <t>PAR-10</t>
        </is>
      </c>
      <c r="B14" s="39" t="inlineStr">
        <is>
          <t>Hinterer Trommel-Außenradius (X=3)</t>
        </is>
      </c>
      <c r="C14" s="38" t="inlineStr">
        <is>
          <t>R_core_back</t>
        </is>
      </c>
      <c r="D14" s="40" t="n">
        <v>52</v>
      </c>
      <c r="E14" s="38" t="inlineStr">
        <is>
          <t>mm</t>
        </is>
      </c>
      <c r="F14" s="39" t="inlineStr">
        <is>
          <t>Ausgangsgeometrie v1.0 / v2.0</t>
        </is>
      </c>
      <c r="G14" s="37" t="inlineStr">
        <is>
          <t>VALIDIERT (CAD-Geometrie)</t>
        </is>
      </c>
    </row>
    <row r="15" ht="19.5" customHeight="1" s="30">
      <c r="A15" s="34" t="inlineStr">
        <is>
          <t>PAR-11</t>
        </is>
      </c>
      <c r="B15" s="35" t="inlineStr">
        <is>
          <t>Vorderer Trommel-Außenradius (X=113)</t>
        </is>
      </c>
      <c r="C15" s="34" t="inlineStr">
        <is>
          <t>R_core_front</t>
        </is>
      </c>
      <c r="D15" s="36" t="n">
        <v>48.15</v>
      </c>
      <c r="E15" s="34" t="inlineStr">
        <is>
          <t>mm</t>
        </is>
      </c>
      <c r="F15" s="35" t="inlineStr">
        <is>
          <t>Formel R(113) = 52 - 3,85 (&gt; R_bend_min 48,0!)</t>
        </is>
      </c>
      <c r="G15" s="37" t="inlineStr">
        <is>
          <t>VALIDIERT (Konflikt aufgelöst)</t>
        </is>
      </c>
    </row>
    <row r="16" ht="19.5" customHeight="1" s="30">
      <c r="A16" s="38" t="inlineStr">
        <is>
          <t>PAR-12</t>
        </is>
      </c>
      <c r="B16" s="39" t="inlineStr">
        <is>
          <t>Mittlerer Trommel-Kernradius</t>
        </is>
      </c>
      <c r="C16" s="38" t="inlineStr">
        <is>
          <t>R_core_mean</t>
        </is>
      </c>
      <c r="D16" s="40">
        <f>(D14+D15)/2</f>
        <v/>
      </c>
      <c r="E16" s="38" t="inlineStr">
        <is>
          <t>mm</t>
        </is>
      </c>
      <c r="F16" s="39" t="inlineStr">
        <is>
          <t>Berechnet aus R_core_back und R_core_front</t>
        </is>
      </c>
      <c r="G16" s="37" t="inlineStr">
        <is>
          <t>VALIDIERT (Formel)</t>
        </is>
      </c>
    </row>
    <row r="17" ht="19.5" customHeight="1" s="30">
      <c r="A17" s="34" t="inlineStr">
        <is>
          <t>PAR-13</t>
        </is>
      </c>
      <c r="B17" s="35" t="inlineStr">
        <is>
          <t>Flansch-Außendurchmesser</t>
        </is>
      </c>
      <c r="C17" s="34" t="inlineStr">
        <is>
          <t>D_flange</t>
        </is>
      </c>
      <c r="D17" s="36" t="n">
        <v>220</v>
      </c>
      <c r="E17" s="34" t="inlineStr">
        <is>
          <t>mm</t>
        </is>
      </c>
      <c r="F17" s="35" t="inlineStr">
        <is>
          <t>Hinter- und Vorderflansch R = 110,0 mm</t>
        </is>
      </c>
      <c r="G17" s="37" t="inlineStr">
        <is>
          <t>VALIDIERT (CAD-Geometrie)</t>
        </is>
      </c>
    </row>
    <row r="18" ht="19.5" customHeight="1" s="30">
      <c r="A18" s="38" t="inlineStr">
        <is>
          <t>PAR-14</t>
        </is>
      </c>
      <c r="B18" s="39" t="inlineStr">
        <is>
          <t>Spindelmittenhöhe über Boden (Z=0)</t>
        </is>
      </c>
      <c r="C18" s="38" t="inlineStr">
        <is>
          <t>Z_c</t>
        </is>
      </c>
      <c r="D18" s="40" t="n">
        <v>150</v>
      </c>
      <c r="E18" s="38" t="inlineStr">
        <is>
          <t>mm</t>
        </is>
      </c>
      <c r="F18" s="39" t="inlineStr">
        <is>
          <t>Bezugsebene Y=0, Z=150 mm</t>
        </is>
      </c>
      <c r="G18" s="37" t="inlineStr">
        <is>
          <t>VALIDIERT (CAD-Geometrie)</t>
        </is>
      </c>
    </row>
    <row r="19" ht="19.5" customHeight="1" s="30">
      <c r="A19" s="34" t="inlineStr">
        <is>
          <t>PAR-15</t>
        </is>
      </c>
      <c r="B19" s="35" t="inlineStr">
        <is>
          <t>Bohrschrauber Spannung (INGCO CIDLI12206)</t>
        </is>
      </c>
      <c r="C19" s="34" t="inlineStr">
        <is>
          <t>U_drill</t>
        </is>
      </c>
      <c r="D19" s="36" t="n">
        <v>12</v>
      </c>
      <c r="E19" s="34" t="inlineStr">
        <is>
          <t>V</t>
        </is>
      </c>
      <c r="F19" s="35" t="inlineStr">
        <is>
          <t>INGCO Datenblatt CIDLI12206 (12V Li-Ion)</t>
        </is>
      </c>
      <c r="G19" s="37" t="inlineStr">
        <is>
          <t>VALIDIERT (Herstellerdaten)</t>
        </is>
      </c>
    </row>
    <row r="20" ht="19.5" customHeight="1" s="30">
      <c r="A20" s="38" t="inlineStr">
        <is>
          <t>PAR-16</t>
        </is>
      </c>
      <c r="B20" s="39" t="inlineStr">
        <is>
          <t>Leerlaufdrehzahl 1. Gang (INGCO CIDLI12206)</t>
        </is>
      </c>
      <c r="C20" s="38" t="inlineStr">
        <is>
          <t>n_drill_low</t>
        </is>
      </c>
      <c r="D20" s="40" t="n">
        <v>400</v>
      </c>
      <c r="E20" s="38" t="inlineStr">
        <is>
          <t>rpm</t>
        </is>
      </c>
      <c r="F20" s="39" t="inlineStr">
        <is>
          <t>INGCO Datenblatt 0-400 / 0-1500 rpm</t>
        </is>
      </c>
      <c r="G20" s="37" t="inlineStr">
        <is>
          <t>VALIDIERT (Herstellerdaten)</t>
        </is>
      </c>
    </row>
    <row r="21" ht="19.5" customHeight="1" s="30">
      <c r="A21" s="34" t="inlineStr">
        <is>
          <t>PAR-17</t>
        </is>
      </c>
      <c r="B21" s="35" t="inlineStr">
        <is>
          <t>Leerlaufdrehzahl 2. Gang (INGCO CIDLI12206)</t>
        </is>
      </c>
      <c r="C21" s="34" t="inlineStr">
        <is>
          <t>n_drill_high</t>
        </is>
      </c>
      <c r="D21" s="36" t="n">
        <v>1500</v>
      </c>
      <c r="E21" s="34" t="inlineStr">
        <is>
          <t>rpm</t>
        </is>
      </c>
      <c r="F21" s="35" t="inlineStr">
        <is>
          <t>INGCO Datenblatt 0-400 / 0-1500 rpm</t>
        </is>
      </c>
      <c r="G21" s="37" t="inlineStr">
        <is>
          <t>VALIDIERT (Herstellerdaten)</t>
        </is>
      </c>
    </row>
    <row r="22" ht="19.5" customHeight="1" s="30">
      <c r="A22" s="38" t="inlineStr">
        <is>
          <t>PAR-18</t>
        </is>
      </c>
      <c r="B22" s="39" t="inlineStr">
        <is>
          <t>Max. Katalog-Drehmoment (INGCO CIDLI12206)</t>
        </is>
      </c>
      <c r="C22" s="38" t="inlineStr">
        <is>
          <t>M_drill_max</t>
        </is>
      </c>
      <c r="D22" s="40" t="n">
        <v>20</v>
      </c>
      <c r="E22" s="38" t="inlineStr">
        <is>
          <t>Nm</t>
        </is>
      </c>
      <c r="F22" s="39" t="inlineStr">
        <is>
          <t>INGCO Datenblatt 20 Nm (18+1+1 Stufen)</t>
        </is>
      </c>
      <c r="G22" s="37" t="inlineStr">
        <is>
          <t>VALIDIERT (Herstellerdaten)</t>
        </is>
      </c>
    </row>
    <row r="23" ht="19.5" customHeight="1" s="30">
      <c r="A23" s="34" t="inlineStr">
        <is>
          <t>PAR-19</t>
        </is>
      </c>
      <c r="B23" s="35" t="inlineStr">
        <is>
          <t>Ziel-Wickelzeit Minimum</t>
        </is>
      </c>
      <c r="C23" s="34" t="inlineStr">
        <is>
          <t>t_wind_min</t>
        </is>
      </c>
      <c r="D23" s="36" t="n">
        <v>3</v>
      </c>
      <c r="E23" s="34" t="inlineStr">
        <is>
          <t>min</t>
        </is>
      </c>
      <c r="F23" s="35" t="inlineStr">
        <is>
          <t>Feste Anforderung Spezifikation</t>
        </is>
      </c>
      <c r="G23" s="37" t="inlineStr">
        <is>
          <t>VALIDIERT (Vorgabe)</t>
        </is>
      </c>
    </row>
    <row r="24" ht="19.5" customHeight="1" s="30">
      <c r="A24" s="38" t="inlineStr">
        <is>
          <t>PAR-20</t>
        </is>
      </c>
      <c r="B24" s="39" t="inlineStr">
        <is>
          <t>Ziel-Wickelzeit Maximum</t>
        </is>
      </c>
      <c r="C24" s="38" t="inlineStr">
        <is>
          <t>t_wind_max</t>
        </is>
      </c>
      <c r="D24" s="40" t="n">
        <v>5</v>
      </c>
      <c r="E24" s="38" t="inlineStr">
        <is>
          <t>min</t>
        </is>
      </c>
      <c r="F24" s="39" t="inlineStr">
        <is>
          <t>Feste Anforderung Spezifikation</t>
        </is>
      </c>
      <c r="G24" s="37" t="inlineStr">
        <is>
          <t>VALIDIERT (Vorgabe)</t>
        </is>
      </c>
    </row>
    <row r="25" ht="19.5" customHeight="1" s="30">
      <c r="A25" s="34" t="inlineStr">
        <is>
          <t>PAR-21</t>
        </is>
      </c>
      <c r="B25" s="35" t="inlineStr">
        <is>
          <t>Nominaler Bandzug beim Aufwickeln (trocken)</t>
        </is>
      </c>
      <c r="C25" s="34" t="inlineStr">
        <is>
          <t>F_pull_nom</t>
        </is>
      </c>
      <c r="D25" s="36" t="n">
        <v>35</v>
      </c>
      <c r="E25" s="34" t="inlineStr">
        <is>
          <t>N</t>
        </is>
      </c>
      <c r="F25" s="35" t="inlineStr">
        <is>
          <t>Bodenreibung 40 m Flachband auf trockenem Ackerboden</t>
        </is>
      </c>
      <c r="G25" s="41" t="inlineStr">
        <is>
          <t>ANNAHME (Zugwaage-Test nötig)</t>
        </is>
      </c>
    </row>
    <row r="26" ht="19.5" customHeight="1" s="30">
      <c r="A26" s="38" t="inlineStr">
        <is>
          <t>PAR-22</t>
        </is>
      </c>
      <c r="B26" s="39" t="inlineStr">
        <is>
          <t>Max. Bandzug bei Verhaken (Rutschkupplung)</t>
        </is>
      </c>
      <c r="C26" s="38" t="inlineStr">
        <is>
          <t>F_pull_max</t>
        </is>
      </c>
      <c r="D26" s="40" t="n">
        <v>120</v>
      </c>
      <c r="E26" s="38" t="inlineStr">
        <is>
          <t>N</t>
        </is>
      </c>
      <c r="F26" s="39" t="inlineStr">
        <is>
          <t>Begrenzt durch Bohrschrauber-Drehmomentstufe 6 (~8 Nm)</t>
        </is>
      </c>
      <c r="G26" s="41" t="inlineStr">
        <is>
          <t>ANNAHME (Prüfstandstest nötig)</t>
        </is>
      </c>
    </row>
    <row r="27" ht="19.5" customHeight="1" s="30">
      <c r="A27" s="34" t="inlineStr">
        <is>
          <t>PAR-23</t>
        </is>
      </c>
      <c r="B27" s="35" t="inlineStr">
        <is>
          <t>Zielmasse Maschine (ohne Schrauber &amp; Akku)</t>
        </is>
      </c>
      <c r="C27" s="34" t="inlineStr">
        <is>
          <t>m_target</t>
        </is>
      </c>
      <c r="D27" s="36" t="n">
        <v>5</v>
      </c>
      <c r="E27" s="34" t="inlineStr">
        <is>
          <t>kg</t>
        </is>
      </c>
      <c r="F27" s="35" t="inlineStr">
        <is>
          <t>Feste Anforderung Spezifikation</t>
        </is>
      </c>
      <c r="G27" s="37" t="inlineStr">
        <is>
          <t>VALIDIERT (Erreicht: 3,10 kg)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9" min="1" max="1"/>
    <col width="42" customWidth="1" style="29" min="2" max="2"/>
    <col width="38" customWidth="1" style="29" min="3" max="3"/>
    <col width="13" customWidth="1" style="29" min="4" max="4"/>
    <col width="27" customWidth="1" style="29" min="5" max="5"/>
    <col width="16" customWidth="1" style="29" min="6" max="6"/>
    <col width="12" customWidth="1" style="29" min="7" max="7"/>
    <col width="42" customWidth="1" style="29" min="8" max="8"/>
  </cols>
  <sheetData>
    <row r="1" ht="25.5" customHeight="1" s="30">
      <c r="A1" s="31" t="inlineStr">
        <is>
          <t>Navaneeth Compact 40M v2.0 – Geometrie</t>
        </is>
      </c>
    </row>
    <row r="2" ht="18" customHeight="1" s="30">
      <c r="A2" s="32" t="inlineStr">
        <is>
          <t>Koordinaten-Audit, Trommelkonus-Verifikation und geometrische Konfliktauflösung (v1.0 vs. v2.0)</t>
        </is>
      </c>
    </row>
    <row r="3"/>
    <row r="4" ht="24" customHeight="1" s="30">
      <c r="A4" s="33" t="inlineStr">
        <is>
          <t>Geometrie-ID</t>
        </is>
      </c>
      <c r="B4" s="33" t="inlineStr">
        <is>
          <t>Baugruppe / Merkmal</t>
        </is>
      </c>
      <c r="C4" s="33" t="inlineStr">
        <is>
          <t>Formel / Referenz</t>
        </is>
      </c>
      <c r="D4" s="33" t="inlineStr">
        <is>
          <t>Wert v1.0</t>
        </is>
      </c>
      <c r="E4" s="33" t="inlineStr">
        <is>
          <t>Wert v2.0 (Freigegeben)</t>
        </is>
      </c>
      <c r="F4" s="33" t="inlineStr">
        <is>
          <t>Differenz</t>
        </is>
      </c>
      <c r="G4" s="33" t="inlineStr">
        <is>
          <t>Einheit</t>
        </is>
      </c>
      <c r="H4" s="33" t="inlineStr">
        <is>
          <t>Bewertung / Konfliktauflösung</t>
        </is>
      </c>
    </row>
    <row r="5" ht="19.5" customHeight="1" s="30">
      <c r="A5" s="34" t="inlineStr">
        <is>
          <t>GEO-01</t>
        </is>
      </c>
      <c r="B5" s="35" t="inlineStr">
        <is>
          <t>Trommelbreite berechnet (4 Spuren à 25 mm)</t>
        </is>
      </c>
      <c r="C5" s="35">
        <f>Parameter_und_Einheiten!D11*Parameter_und_Einheiten!D6+(Parameter_und_Einheiten!D11-1)*Parameter_und_Einheiten!D12+7</f>
        <v/>
      </c>
      <c r="D5" s="36" t="n">
        <v>110</v>
      </c>
      <c r="E5" s="36">
        <f>Parameter_und_Einheiten!D11*Parameter_und_Einheiten!D6+(Parameter_und_Einheiten!D11-1)*Parameter_und_Einheiten!D12+7</f>
        <v/>
      </c>
      <c r="F5" s="42">
        <f>E5-D5</f>
        <v/>
      </c>
      <c r="G5" s="34" t="inlineStr">
        <is>
          <t>mm</t>
        </is>
      </c>
      <c r="H5" s="43" t="inlineStr">
        <is>
          <t>VALIDIERT (100 mm Band + 3 mm Stufen + 7 mm Rand = 110 mm)</t>
        </is>
      </c>
    </row>
    <row r="6" ht="19.5" customHeight="1" s="30">
      <c r="A6" s="38" t="inlineStr">
        <is>
          <t>GEO-02</t>
        </is>
      </c>
      <c r="B6" s="39" t="inlineStr">
        <is>
          <t>Trommel-Außenradius hinten (X = 3 mm)</t>
        </is>
      </c>
      <c r="C6" s="39" t="inlineStr">
        <is>
          <t>R(3) = 52,00</t>
        </is>
      </c>
      <c r="D6" s="40" t="n">
        <v>52</v>
      </c>
      <c r="E6" s="40">
        <f>Parameter_und_Einheiten!D14</f>
        <v/>
      </c>
      <c r="F6" s="44">
        <f>E6-D6</f>
        <v/>
      </c>
      <c r="G6" s="38" t="inlineStr">
        <is>
          <t>mm</t>
        </is>
      </c>
      <c r="H6" s="43" t="inlineStr">
        <is>
          <t>VALIDIERT (Unverändert übernommen)</t>
        </is>
      </c>
    </row>
    <row r="7" ht="19.5" customHeight="1" s="30">
      <c r="A7" s="34" t="inlineStr">
        <is>
          <t>GEO-03</t>
        </is>
      </c>
      <c r="B7" s="35" t="inlineStr">
        <is>
          <t>Trommel-Außenradius vorne (X = 113 mm)</t>
        </is>
      </c>
      <c r="C7" s="35" t="inlineStr">
        <is>
          <t>R(113) = 52,0 - 3,85</t>
        </is>
      </c>
      <c r="D7" s="36" t="n">
        <v>48.15</v>
      </c>
      <c r="E7" s="36">
        <f>Parameter_und_Einheiten!D15</f>
        <v/>
      </c>
      <c r="F7" s="42">
        <f>E7-D7</f>
        <v/>
      </c>
      <c r="G7" s="34" t="inlineStr">
        <is>
          <t>mm</t>
        </is>
      </c>
      <c r="H7" s="43" t="inlineStr">
        <is>
          <t>VALIDIERT (48,15 mm &gt; 48,0 mm min. Biegeradius)</t>
        </is>
      </c>
    </row>
    <row r="8" ht="19.5" customHeight="1" s="30">
      <c r="A8" s="38" t="inlineStr">
        <is>
          <t>GEO-04</t>
        </is>
      </c>
      <c r="B8" s="39" t="inlineStr">
        <is>
          <t>Radialer Konus-Abfall Delta_R (über 110 mm)</t>
        </is>
      </c>
      <c r="C8" s="39">
        <f>E6-E7</f>
        <v/>
      </c>
      <c r="D8" s="40" t="n">
        <v>3.85</v>
      </c>
      <c r="E8" s="40">
        <f>E6-E7</f>
        <v/>
      </c>
      <c r="F8" s="44">
        <f>E8-D8</f>
        <v/>
      </c>
      <c r="G8" s="38" t="inlineStr">
        <is>
          <t>mm</t>
        </is>
      </c>
      <c r="H8" s="43" t="inlineStr">
        <is>
          <t>VALIDIERT (Lineare Master-Gleichung maßgebend)</t>
        </is>
      </c>
    </row>
    <row r="9" ht="19.5" customHeight="1" s="30">
      <c r="A9" s="34" t="inlineStr">
        <is>
          <t>GEO-05</t>
        </is>
      </c>
      <c r="B9" s="35" t="inlineStr">
        <is>
          <t>Realer Konuswinkel alpha aus Delta_R = 3,85 mm</t>
        </is>
      </c>
      <c r="C9" s="35">
        <f>DEGREES(ATAN(E8/Parameter_und_Einheiten!D13))</f>
        <v/>
      </c>
      <c r="D9" s="36" t="n">
        <v>2</v>
      </c>
      <c r="E9" s="36">
        <f>DEGREES(ATAN(E8/Parameter_und_Einheiten!D13))</f>
        <v/>
      </c>
      <c r="F9" s="42">
        <f>E9-D9</f>
        <v/>
      </c>
      <c r="G9" s="34" t="inlineStr">
        <is>
          <t>Grad</t>
        </is>
      </c>
      <c r="H9" s="43" t="inlineStr">
        <is>
          <t>VALIDIERT (Exakt 2,0045°; 2,0° ist Nominalwert)</t>
        </is>
      </c>
    </row>
    <row r="10" ht="19.5" customHeight="1" s="30">
      <c r="A10" s="38" t="inlineStr">
        <is>
          <t>GEO-06</t>
        </is>
      </c>
      <c r="B10" s="39" t="inlineStr">
        <is>
          <t>Theoretischer Delta_R bei exakt 2,0000°</t>
        </is>
      </c>
      <c r="C10" s="39">
        <f>Parameter_und_Einheiten!D13*TAN(RADIANS(2))</f>
        <v/>
      </c>
      <c r="D10" s="40" t="n">
        <v>3.841</v>
      </c>
      <c r="E10" s="40">
        <f>Parameter_und_Einheiten!D13*TAN(RADIANS(2))</f>
        <v/>
      </c>
      <c r="F10" s="44">
        <f>E10-D10</f>
        <v/>
      </c>
      <c r="G10" s="38" t="inlineStr">
        <is>
          <t>mm</t>
        </is>
      </c>
      <c r="H10" s="43" t="inlineStr">
        <is>
          <t>VALIDIERT (Abweichung nur 0,0087 mm &lt; Fertigungstoleranz)</t>
        </is>
      </c>
    </row>
    <row r="11" ht="19.5" customHeight="1" s="30">
      <c r="A11" s="34" t="inlineStr">
        <is>
          <t>GEO-07</t>
        </is>
      </c>
      <c r="B11" s="35" t="inlineStr">
        <is>
          <t>Spindeldurchmesser Lagersitz (Lager 6003 d=17)</t>
        </is>
      </c>
      <c r="C11" s="35" t="inlineStr">
        <is>
          <t>ISO 286 Welle k5</t>
        </is>
      </c>
      <c r="D11" s="36" t="n">
        <v>16.8</v>
      </c>
      <c r="E11" s="36" t="n">
        <v>17</v>
      </c>
      <c r="F11" s="42">
        <f>E11-D11</f>
        <v/>
      </c>
      <c r="G11" s="34" t="inlineStr">
        <is>
          <t>mm</t>
        </is>
      </c>
      <c r="H11" s="45" t="inlineStr">
        <is>
          <t>KONFLIKT GELÖST (v1.0 hatte 0,2 mm Spiel! v2.0: Ø17,00 k5)</t>
        </is>
      </c>
    </row>
    <row r="12" ht="19.5" customHeight="1" s="30">
      <c r="A12" s="38" t="inlineStr">
        <is>
          <t>GEO-08</t>
        </is>
      </c>
      <c r="B12" s="39" t="inlineStr">
        <is>
          <t>Hinterflansch-Nabenbohrung (REV-03)</t>
        </is>
      </c>
      <c r="C12" s="39" t="inlineStr">
        <is>
          <t>ISO 286 H7/h6 + M6-Querstift</t>
        </is>
      </c>
      <c r="D12" s="40" t="n">
        <v>17.8</v>
      </c>
      <c r="E12" s="40" t="n">
        <v>17.02</v>
      </c>
      <c r="F12" s="44">
        <f>E12-D12</f>
        <v/>
      </c>
      <c r="G12" s="38" t="inlineStr">
        <is>
          <t>mm</t>
        </is>
      </c>
      <c r="H12" s="45" t="inlineStr">
        <is>
          <t>KONFLIKT GELÖST (v1.0 hatte 1,0 mm Spiel ohne Mitnehmer)</t>
        </is>
      </c>
    </row>
    <row r="13" ht="19.5" customHeight="1" s="30">
      <c r="A13" s="34" t="inlineStr">
        <is>
          <t>GEO-09</t>
        </is>
      </c>
      <c r="B13" s="35" t="inlineStr">
        <is>
          <t>Lagergehäuse Lagersitzbohrung (Lager 6003 D=35)</t>
        </is>
      </c>
      <c r="C13" s="35" t="inlineStr">
        <is>
          <t>ISO 286 Gehäuse H7</t>
        </is>
      </c>
      <c r="D13" s="36" t="n">
        <v>35</v>
      </c>
      <c r="E13" s="36" t="n">
        <v>35</v>
      </c>
      <c r="F13" s="42">
        <f>E13-D13</f>
        <v/>
      </c>
      <c r="G13" s="34" t="inlineStr">
        <is>
          <t>mm</t>
        </is>
      </c>
      <c r="H13" s="43" t="inlineStr">
        <is>
          <t>VALIDIERT (Mit Innenschulter Ø31 mm bei X=-74..-34 ergänzt)</t>
        </is>
      </c>
    </row>
    <row r="14" ht="19.5" customHeight="1" s="30">
      <c r="A14" s="38" t="inlineStr">
        <is>
          <t>GEO-10</t>
        </is>
      </c>
      <c r="B14" s="39" t="inlineStr">
        <is>
          <t>Chassisplatte Spindel-Durchgangsbohrung</t>
        </is>
      </c>
      <c r="C14" s="39" t="inlineStr">
        <is>
          <t>Freigang für Welle Ø20 / Nabe</t>
        </is>
      </c>
      <c r="D14" s="40" t="n">
        <v>24</v>
      </c>
      <c r="E14" s="40" t="n">
        <v>36</v>
      </c>
      <c r="F14" s="44">
        <f>E14-D14</f>
        <v/>
      </c>
      <c r="G14" s="38" t="inlineStr">
        <is>
          <t>mm</t>
        </is>
      </c>
      <c r="H14" s="45" t="inlineStr">
        <is>
          <t>KONFLIKT GELÖST (Erweitert auf Ø36 mm für Montagefreigang)</t>
        </is>
      </c>
    </row>
    <row r="15" ht="19.5" customHeight="1" s="30">
      <c r="A15" s="34" t="inlineStr">
        <is>
          <t>GEO-11</t>
        </is>
      </c>
      <c r="B15" s="35" t="inlineStr">
        <is>
          <t>Führungsarm Wandstärke in X (REV-02)</t>
        </is>
      </c>
      <c r="C15" s="35" t="inlineStr">
        <is>
          <t>X = -32..-24 mm</t>
        </is>
      </c>
      <c r="D15" s="36" t="n">
        <v>4</v>
      </c>
      <c r="E15" s="36" t="n">
        <v>8</v>
      </c>
      <c r="F15" s="42">
        <f>E15-D15</f>
        <v/>
      </c>
      <c r="G15" s="34" t="inlineStr">
        <is>
          <t>mm</t>
        </is>
      </c>
      <c r="H15" s="43" t="inlineStr">
        <is>
          <t>VALIDIERT (Verdoppelt für Kragarm-Einspannsteifigkeit)</t>
        </is>
      </c>
    </row>
    <row r="16" ht="19.5" customHeight="1" s="30">
      <c r="A16" s="38" t="inlineStr">
        <is>
          <t>GEO-12</t>
        </is>
      </c>
      <c r="B16" s="39" t="inlineStr">
        <is>
          <t>Führungsachse Durchmesser an Wurzel / Lager (REV-02)</t>
        </is>
      </c>
      <c r="C16" s="39" t="inlineStr">
        <is>
          <t>Schulter Ø16 / Lagersitz Ø15,00 k5</t>
        </is>
      </c>
      <c r="D16" s="40" t="n">
        <v>8</v>
      </c>
      <c r="E16" s="40" t="n">
        <v>15</v>
      </c>
      <c r="F16" s="44">
        <f>E16-D16</f>
        <v/>
      </c>
      <c r="G16" s="38" t="inlineStr">
        <is>
          <t>mm</t>
        </is>
      </c>
      <c r="H16" s="45" t="inlineStr">
        <is>
          <t>KONFLIKT GELÖST (6002-2RS hat d=15,00 mm Bohrung, Schulter Ø16)</t>
        </is>
      </c>
    </row>
    <row r="17" ht="19.5" customHeight="1" s="30">
      <c r="A17" s="34" t="inlineStr">
        <is>
          <t>GEO-13</t>
        </is>
      </c>
      <c r="B17" s="35" t="inlineStr">
        <is>
          <t>Führungsrolle Außendurchmesser (fuer 6002-2RS D=32)</t>
        </is>
      </c>
      <c r="C17" s="35" t="inlineStr">
        <is>
          <t>Lagersitz Ø32 H7 + 3 mm Wand</t>
        </is>
      </c>
      <c r="D17" s="36" t="n">
        <v>24</v>
      </c>
      <c r="E17" s="36" t="n">
        <v>38</v>
      </c>
      <c r="F17" s="42">
        <f>E17-D17</f>
        <v/>
      </c>
      <c r="G17" s="34" t="inlineStr">
        <is>
          <t>mm</t>
        </is>
      </c>
      <c r="H17" s="45" t="inlineStr">
        <is>
          <t>KONFLIKT GELÖST (v1.0 Ø24 war kleiner als Lager 6002 D=32!)</t>
        </is>
      </c>
    </row>
    <row r="18" ht="19.5" customHeight="1" s="30">
      <c r="A18" s="38" t="inlineStr">
        <is>
          <t>GEO-14</t>
        </is>
      </c>
      <c r="B18" s="39" t="inlineStr">
        <is>
          <t>Fußplatte Unterkante über Boden Z=0 (REV-05)</t>
        </is>
      </c>
      <c r="C18" s="39" t="inlineStr">
        <is>
          <t>Z_footplate_min</t>
        </is>
      </c>
      <c r="D18" s="40" t="n">
        <v>6</v>
      </c>
      <c r="E18" s="40" t="n">
        <v>12</v>
      </c>
      <c r="F18" s="44">
        <f>E18-D18</f>
        <v/>
      </c>
      <c r="G18" s="38" t="inlineStr">
        <is>
          <t>mm</t>
        </is>
      </c>
      <c r="H18" s="43" t="inlineStr">
        <is>
          <t>VALIDIERT (Angehoben auf Z=12 mm; Schrauben in +Z gedreht)</t>
        </is>
      </c>
    </row>
    <row r="19" ht="19.5" customHeight="1" s="30">
      <c r="A19" s="34" t="inlineStr">
        <is>
          <t>GEO-15</t>
        </is>
      </c>
      <c r="B19" s="35" t="inlineStr">
        <is>
          <t>Minimale Bodenfreiheit aller Befestiger (REV-05)</t>
        </is>
      </c>
      <c r="C19" s="35" t="inlineStr">
        <is>
          <t>Z_fastener_min</t>
        </is>
      </c>
      <c r="D19" s="36" t="n">
        <v>1</v>
      </c>
      <c r="E19" s="36" t="n">
        <v>12</v>
      </c>
      <c r="F19" s="42">
        <f>E19-D19</f>
        <v/>
      </c>
      <c r="G19" s="34" t="inlineStr">
        <is>
          <t>mm</t>
        </is>
      </c>
      <c r="H19" s="43" t="inlineStr">
        <is>
          <t>VALIDIERT (Keine überstehenden Muttern an Rahmenunterseite)</t>
        </is>
      </c>
    </row>
    <row r="20" ht="19.5" customHeight="1" s="30">
      <c r="A20" s="38" t="inlineStr">
        <is>
          <t>GEO-16</t>
        </is>
      </c>
      <c r="B20" s="39" t="inlineStr">
        <is>
          <t>Ventilgriff-Stiel Z-Erstreckung (REV-07)</t>
        </is>
      </c>
      <c r="C20" s="39" t="inlineStr">
        <is>
          <t>Z = 28..32 mm (R=4 mm)</t>
        </is>
      </c>
      <c r="D20" s="40" t="n">
        <v>30</v>
      </c>
      <c r="E20" s="40" t="n">
        <v>28</v>
      </c>
      <c r="F20" s="44">
        <f>E20-D20</f>
        <v/>
      </c>
      <c r="G20" s="38" t="inlineStr">
        <is>
          <t>mm</t>
        </is>
      </c>
      <c r="H20" s="43" t="inlineStr">
        <is>
          <t>VALIDIERT (2-mm-Lücke zwischen Rohr Z=28 und Stiel geschlossen)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42" customWidth="1" style="29" min="2" max="2"/>
    <col width="20" customWidth="1" style="29" min="3" max="3"/>
    <col width="30" customWidth="1" style="29" min="4" max="4"/>
    <col width="26" customWidth="1" style="29" min="5" max="5"/>
    <col width="40" customWidth="1" style="29" min="6" max="6"/>
    <col width="33" customWidth="1" style="29" min="7" max="7"/>
    <col width="42" customWidth="1" style="29" min="8" max="8"/>
  </cols>
  <sheetData>
    <row r="1" ht="25.5" customHeight="1" s="30">
      <c r="A1" s="31" t="inlineStr">
        <is>
          <t>Navaneeth Compact 40M v2.0 – Wickelkapazitaet</t>
        </is>
      </c>
    </row>
    <row r="2" ht="18" customHeight="1" s="30">
      <c r="A2" s="32" t="inlineStr">
        <is>
          <t>Nachrechnung der 40-m-Wickelkapazität: Einzelspur-Stapel vs. 4-Spur-Traverse und Sensitivitätsanalyse</t>
        </is>
      </c>
    </row>
    <row r="3"/>
    <row r="4" ht="24" customHeight="1" s="30">
      <c r="A4" s="33" t="inlineStr">
        <is>
          <t>Szenario-ID</t>
        </is>
      </c>
      <c r="B4" s="33" t="inlineStr">
        <is>
          <t>Wickelmodus (Einzelnes durchgehendes 40m-Band)</t>
        </is>
      </c>
      <c r="C4" s="33" t="inlineStr">
        <is>
          <t>Spuren N_eff [-]</t>
        </is>
      </c>
      <c r="D4" s="33" t="inlineStr">
        <is>
          <t>Eff. Bandstärke t_eff [mm]</t>
        </is>
      </c>
      <c r="E4" s="33" t="inlineStr">
        <is>
          <t>Packungsfaktor eta [-]</t>
        </is>
      </c>
      <c r="F4" s="33" t="inlineStr">
        <is>
          <t>Berechneter Rollenradius R_coil [mm]</t>
        </is>
      </c>
      <c r="G4" s="33" t="inlineStr">
        <is>
          <t>Rollendurchmesser D_coil [mm]</t>
        </is>
      </c>
      <c r="H4" s="33" t="inlineStr">
        <is>
          <t>Radialer Flansch-Freiraum (R_flange=110) [mm]</t>
        </is>
      </c>
    </row>
    <row r="5" ht="19.5" customHeight="1" s="30">
      <c r="A5" s="34" t="inlineStr">
        <is>
          <t>CAP-01</t>
        </is>
      </c>
      <c r="B5" s="35" t="inlineStr">
        <is>
          <t>v2.0 Auslegung: 4-Spur-Traverse (4 x 10 m, nominal R_core=50,0)</t>
        </is>
      </c>
      <c r="C5" s="46" t="n">
        <v>4</v>
      </c>
      <c r="D5" s="36">
        <f>Parameter_und_Einheiten!D8</f>
        <v/>
      </c>
      <c r="E5" s="36">
        <f>Parameter_und_Einheiten!D10</f>
        <v/>
      </c>
      <c r="F5" s="36">
        <f>SQRT(50^2+(Parameter_und_Einheiten!D5*D5)/(PI()*C5*E5))</f>
        <v/>
      </c>
      <c r="G5" s="36">
        <f>2*F5</f>
        <v/>
      </c>
      <c r="H5" s="42">
        <f>110-F5</f>
        <v/>
      </c>
    </row>
    <row r="6" ht="19.5" customHeight="1" s="30">
      <c r="A6" s="38" t="inlineStr">
        <is>
          <t>CAP-02</t>
        </is>
      </c>
      <c r="B6" s="39" t="inlineStr">
        <is>
          <t>v2.0 Exakt: 4-Spur-Traverse (mittlerer Konus R_core=50,075)</t>
        </is>
      </c>
      <c r="C6" s="47" t="n">
        <v>4</v>
      </c>
      <c r="D6" s="40">
        <f>Parameter_und_Einheiten!D8</f>
        <v/>
      </c>
      <c r="E6" s="40">
        <f>Parameter_und_Einheiten!D10</f>
        <v/>
      </c>
      <c r="F6" s="40">
        <f>SQRT(Parameter_und_Einheiten!D16^2+(Parameter_und_Einheiten!D5*D6)/(PI()*C6*E6))</f>
        <v/>
      </c>
      <c r="G6" s="40">
        <f>2*F6</f>
        <v/>
      </c>
      <c r="H6" s="44">
        <f>110-F6</f>
        <v/>
      </c>
    </row>
    <row r="7" ht="19.5" customHeight="1" s="30">
      <c r="A7" s="34" t="inlineStr">
        <is>
          <t>CAP-03</t>
        </is>
      </c>
      <c r="B7" s="35" t="inlineStr">
        <is>
          <t>Sensitivität: 4-Spur-Traverse mit dichter Packung (eta=0,78, t=1,4)</t>
        </is>
      </c>
      <c r="C7" s="46" t="n">
        <v>4</v>
      </c>
      <c r="D7" s="36" t="n">
        <v>1.4</v>
      </c>
      <c r="E7" s="36" t="n">
        <v>0.78</v>
      </c>
      <c r="F7" s="36">
        <f>SQRT(Parameter_und_Einheiten!D16^2+(Parameter_und_Einheiten!D5*D7)/(PI()*C7*E7))</f>
        <v/>
      </c>
      <c r="G7" s="36">
        <f>2*F7</f>
        <v/>
      </c>
      <c r="H7" s="42">
        <f>110-F7</f>
        <v/>
      </c>
    </row>
    <row r="8" ht="19.5" customHeight="1" s="30">
      <c r="A8" s="38" t="inlineStr">
        <is>
          <t>CAP-04</t>
        </is>
      </c>
      <c r="B8" s="39" t="inlineStr">
        <is>
          <t>Sensitivität: 4-Spur-Traverse Worst-Case (eta=0,62, t=1,65)</t>
        </is>
      </c>
      <c r="C8" s="47" t="n">
        <v>4</v>
      </c>
      <c r="D8" s="40" t="n">
        <v>1.65</v>
      </c>
      <c r="E8" s="40" t="n">
        <v>0.62</v>
      </c>
      <c r="F8" s="40">
        <f>SQRT(Parameter_und_Einheiten!D16^2+(Parameter_und_Einheiten!D5*D8)/(PI()*C8*E8))</f>
        <v/>
      </c>
      <c r="G8" s="40">
        <f>2*F8</f>
        <v/>
      </c>
      <c r="H8" s="44">
        <f>110-F8</f>
        <v/>
      </c>
    </row>
    <row r="9" ht="19.5" customHeight="1" s="30">
      <c r="A9" s="34" t="inlineStr">
        <is>
          <t>CAP-05</t>
        </is>
      </c>
      <c r="B9" s="35" t="inlineStr">
        <is>
          <t>Sensitivität: 3-Spur-Traverse (N=3, falls 1 Spur ungenutzt)</t>
        </is>
      </c>
      <c r="C9" s="46" t="n">
        <v>3</v>
      </c>
      <c r="D9" s="36" t="n">
        <v>1.5</v>
      </c>
      <c r="E9" s="36" t="n">
        <v>0.7</v>
      </c>
      <c r="F9" s="36">
        <f>SQRT(Parameter_und_Einheiten!D16^2+(Parameter_und_Einheiten!D5*D9)/(PI()*C9*E9))</f>
        <v/>
      </c>
      <c r="G9" s="36">
        <f>2*F9</f>
        <v/>
      </c>
      <c r="H9" s="42">
        <f>110-F9</f>
        <v/>
      </c>
    </row>
    <row r="10" ht="19.5" customHeight="1" s="30">
      <c r="A10" s="38" t="inlineStr">
        <is>
          <t>CAP-06</t>
        </is>
      </c>
      <c r="B10" s="39" t="inlineStr">
        <is>
          <t>Gegenprobe: 1-Spur-Einzelstapel OHNE Traverse (N=1, t=1,5, eta=0,70)</t>
        </is>
      </c>
      <c r="C10" s="47" t="n">
        <v>1</v>
      </c>
      <c r="D10" s="40" t="n">
        <v>1.5</v>
      </c>
      <c r="E10" s="40" t="n">
        <v>0.7</v>
      </c>
      <c r="F10" s="40">
        <f>SQRT(Parameter_und_Einheiten!D16^2+(Parameter_und_Einheiten!D5*D10)/(PI()*C10*E10))</f>
        <v/>
      </c>
      <c r="G10" s="40">
        <f>2*F10</f>
        <v/>
      </c>
      <c r="H10" s="44">
        <f>110-F10</f>
        <v/>
      </c>
    </row>
    <row r="11" ht="19.5" customHeight="1" s="30">
      <c r="A11" s="34" t="inlineStr">
        <is>
          <t>CAP-07</t>
        </is>
      </c>
      <c r="B11" s="35" t="inlineStr">
        <is>
          <t>Gegenprobe: 1-Spur-Einzelstapel dünnes Band (N=1, t=1,2, eta=0,80)</t>
        </is>
      </c>
      <c r="C11" s="46" t="n">
        <v>1</v>
      </c>
      <c r="D11" s="36" t="n">
        <v>1.2</v>
      </c>
      <c r="E11" s="36" t="n">
        <v>0.8</v>
      </c>
      <c r="F11" s="36">
        <f>SQRT(Parameter_und_Einheiten!D16^2+(Parameter_und_Einheiten!D5*D11)/(PI()*C11*E11))</f>
        <v/>
      </c>
      <c r="G11" s="36">
        <f>2*F11</f>
        <v/>
      </c>
      <c r="H11" s="42">
        <f>110-F11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9" min="1" max="1"/>
    <col width="42" customWidth="1" style="29" min="2" max="2"/>
    <col width="35" customWidth="1" style="29" min="3" max="3"/>
    <col width="31" customWidth="1" style="29" min="4" max="4"/>
    <col width="38" customWidth="1" style="29" min="5" max="5"/>
    <col width="41" customWidth="1" style="29" min="6" max="6"/>
    <col width="40" customWidth="1" style="29" min="7" max="7"/>
    <col width="42" customWidth="1" style="29" min="8" max="8"/>
  </cols>
  <sheetData>
    <row r="1" ht="25.5" customHeight="1" s="30">
      <c r="A1" s="31" t="inlineStr">
        <is>
          <t>Navaneeth Compact 40M v2.0 – Drehzahl und Zeit</t>
        </is>
      </c>
    </row>
    <row r="2" ht="18" customHeight="1" s="30">
      <c r="A2" s="32" t="inlineStr">
        <is>
          <t>Wickelzeit-, Drehzahl- und Untersetzungsmodell mit wachsendem Wickelradius R(N)</t>
        </is>
      </c>
    </row>
    <row r="3"/>
    <row r="4" ht="24" customHeight="1" s="30">
      <c r="A4" s="33" t="inlineStr">
        <is>
          <t>Betriebspunkt-ID</t>
        </is>
      </c>
      <c r="B4" s="33" t="inlineStr">
        <is>
          <t>Antriebskonfiguration / Szenario</t>
        </is>
      </c>
      <c r="C4" s="33" t="inlineStr">
        <is>
          <t>Spindeldrehzahl n_spindel [rpm]</t>
        </is>
      </c>
      <c r="D4" s="33" t="inlineStr">
        <is>
          <t>Gesamtumdrehungen N_ges [-]</t>
        </is>
      </c>
      <c r="E4" s="33" t="inlineStr">
        <is>
          <t>Berechnete Wickelzeit t_wind [min]</t>
        </is>
      </c>
      <c r="F4" s="33" t="inlineStr">
        <is>
          <t>Bandgeschwindigkeit Start v_min [m/s]</t>
        </is>
      </c>
      <c r="G4" s="33" t="inlineStr">
        <is>
          <t>Bandgeschwindigkeit Ende v_max [m/s]</t>
        </is>
      </c>
      <c r="H4" s="33" t="inlineStr">
        <is>
          <t>Bewertung (Ziel: 3,0 bis 5,0 min)</t>
        </is>
      </c>
    </row>
    <row r="5" ht="19.5" customHeight="1" s="30">
      <c r="A5" s="34" t="inlineStr">
        <is>
          <t>RPM-01</t>
        </is>
      </c>
      <c r="B5" s="35" t="inlineStr">
        <is>
          <t>Zielzeit Minimum (t = 3,0 min, mit Getriebe i = 12:1 bei 347 rpm)</t>
        </is>
      </c>
      <c r="C5" s="36">
        <f>D5/3</f>
        <v/>
      </c>
      <c r="D5" s="36">
        <f>Parameter_und_Einheiten!D5/(2*PI()*((Parameter_und_Einheiten!D16+Wickelkapazitaet!F6)/2))</f>
        <v/>
      </c>
      <c r="E5" s="36">
        <f>D5/C5</f>
        <v/>
      </c>
      <c r="F5" s="36">
        <f>2*PI()*Parameter_und_Einheiten!D16*C5/60000</f>
        <v/>
      </c>
      <c r="G5" s="36">
        <f>2*PI()*Wickelkapazitaet!F6*C5/60000</f>
        <v/>
      </c>
      <c r="H5" s="43" t="inlineStr">
        <is>
          <t>FREIGEGEBEN (Untere Zielgrenze 3,0 min)</t>
        </is>
      </c>
    </row>
    <row r="6" ht="19.5" customHeight="1" s="30">
      <c r="A6" s="38" t="inlineStr">
        <is>
          <t>RPM-02</t>
        </is>
      </c>
      <c r="B6" s="39" t="inlineStr">
        <is>
          <t>Nominaler Auslegungspunkt (t = 4,0 min, mit Getriebe i = 16:1 bei 347 rpm)</t>
        </is>
      </c>
      <c r="C6" s="40">
        <f>D6/4</f>
        <v/>
      </c>
      <c r="D6" s="40">
        <f>D5</f>
        <v/>
      </c>
      <c r="E6" s="40">
        <f>D6/C6</f>
        <v/>
      </c>
      <c r="F6" s="40">
        <f>2*PI()*Parameter_und_Einheiten!D16*C6/60000</f>
        <v/>
      </c>
      <c r="G6" s="40">
        <f>2*PI()*Wickelkapazitaet!F6*C6/60000</f>
        <v/>
      </c>
      <c r="H6" s="43" t="inlineStr">
        <is>
          <t>FREIGEGEBEN (Optimaler Betriebspunkt 4,0 min)</t>
        </is>
      </c>
    </row>
    <row r="7" ht="19.5" customHeight="1" s="30">
      <c r="A7" s="34" t="inlineStr">
        <is>
          <t>RPM-03</t>
        </is>
      </c>
      <c r="B7" s="35" t="inlineStr">
        <is>
          <t>Zielzeit Maximum (t = 5,0 min, mit Getriebe i = 20:1 bei 347 rpm)</t>
        </is>
      </c>
      <c r="C7" s="36">
        <f>D7/5</f>
        <v/>
      </c>
      <c r="D7" s="36">
        <f>D5</f>
        <v/>
      </c>
      <c r="E7" s="36">
        <f>D7/C7</f>
        <v/>
      </c>
      <c r="F7" s="36">
        <f>2*PI()*Parameter_und_Einheiten!D16*C7/60000</f>
        <v/>
      </c>
      <c r="G7" s="36">
        <f>2*PI()*Wickelkapazitaet!F6*C7/60000</f>
        <v/>
      </c>
      <c r="H7" s="43" t="inlineStr">
        <is>
          <t>FREIGEGEBEN (Obere Zielgrenze 5,0 min)</t>
        </is>
      </c>
    </row>
    <row r="8" ht="19.5" customHeight="1" s="30">
      <c r="A8" s="38" t="inlineStr">
        <is>
          <t>RPM-04</t>
        </is>
      </c>
      <c r="B8" s="39" t="inlineStr">
        <is>
          <t>Direktantrieb 1. Gang Teillast-Trigger (n = 60 rpm ohne Getriebe)</t>
        </is>
      </c>
      <c r="C8" s="40" t="n">
        <v>60</v>
      </c>
      <c r="D8" s="40">
        <f>D5</f>
        <v/>
      </c>
      <c r="E8" s="40">
        <f>D8/C8</f>
        <v/>
      </c>
      <c r="F8" s="40">
        <f>2*PI()*Parameter_und_Einheiten!D16*C8/60000</f>
        <v/>
      </c>
      <c r="G8" s="40">
        <f>2*PI()*Wickelkapazitaet!F6*C8/60000</f>
        <v/>
      </c>
      <c r="H8" s="48" t="inlineStr">
        <is>
          <t>WARNUNG (1,45 min – zu schnell für Handführung)</t>
        </is>
      </c>
    </row>
    <row r="9" ht="19.5" customHeight="1" s="30">
      <c r="A9" s="34" t="inlineStr">
        <is>
          <t>RPM-05</t>
        </is>
      </c>
      <c r="B9" s="35" t="inlineStr">
        <is>
          <t>Direktantrieb 1. Gang Nenndrehzahl unter Last (n = 350 rpm)</t>
        </is>
      </c>
      <c r="C9" s="36" t="n">
        <v>350</v>
      </c>
      <c r="D9" s="36">
        <f>D5</f>
        <v/>
      </c>
      <c r="E9" s="36">
        <f>D9/C9</f>
        <v/>
      </c>
      <c r="F9" s="36">
        <f>2*PI()*Parameter_und_Einheiten!D16*C9/60000</f>
        <v/>
      </c>
      <c r="G9" s="36">
        <f>2*PI()*Wickelkapazitaet!F6*C9/60000</f>
        <v/>
      </c>
      <c r="H9" s="45" t="inlineStr">
        <is>
          <t>SPERRPUNKT (0,25 min / 15 s – gefährlicher Peitscheffekt!)</t>
        </is>
      </c>
    </row>
    <row r="10" ht="19.5" customHeight="1" s="30">
      <c r="A10" s="38" t="inlineStr">
        <is>
          <t>RPM-06</t>
        </is>
      </c>
      <c r="B10" s="39" t="inlineStr">
        <is>
          <t>Direktantrieb 1. Gang Leerlauf (INGCO 400 rpm Vollgas)</t>
        </is>
      </c>
      <c r="C10" s="40" t="n">
        <v>400</v>
      </c>
      <c r="D10" s="40">
        <f>D5</f>
        <v/>
      </c>
      <c r="E10" s="40">
        <f>D10/C10</f>
        <v/>
      </c>
      <c r="F10" s="40">
        <f>2*PI()*Parameter_und_Einheiten!D16*C10/60000</f>
        <v/>
      </c>
      <c r="G10" s="40">
        <f>2*PI()*Wickelkapazitaet!F6*C10/60000</f>
        <v/>
      </c>
      <c r="H10" s="45" t="inlineStr">
        <is>
          <t>SPERRPUNKT (0,22 min / 13 s – Untersetzung i=16:1 Pflicht!)</t>
        </is>
      </c>
    </row>
    <row r="11" ht="19.5" customHeight="1" s="30">
      <c r="A11" s="34" t="inlineStr">
        <is>
          <t>RPM-07</t>
        </is>
      </c>
      <c r="B11" s="35" t="inlineStr">
        <is>
          <t>Direktantrieb 2. Gang Leerlauf (INGCO 1500 rpm Vollgas)</t>
        </is>
      </c>
      <c r="C11" s="36" t="n">
        <v>1500</v>
      </c>
      <c r="D11" s="36">
        <f>D5</f>
        <v/>
      </c>
      <c r="E11" s="36">
        <f>D11/C11</f>
        <v/>
      </c>
      <c r="F11" s="36">
        <f>2*PI()*Parameter_und_Einheiten!D16*C11/60000</f>
        <v/>
      </c>
      <c r="G11" s="36">
        <f>2*PI()*Wickelkapazitaet!F6*C11/60000</f>
        <v/>
      </c>
      <c r="H11" s="45" t="inlineStr">
        <is>
          <t>SPERRPUNKT (2. Gang mechanisch/organisatorisch sperren!)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42" customWidth="1" style="29" min="2" max="2"/>
    <col width="22" customWidth="1" style="29" min="3" max="3"/>
    <col width="29" customWidth="1" style="29" min="4" max="4"/>
    <col width="32" customWidth="1" style="29" min="5" max="5"/>
    <col width="42" customWidth="1" style="29" min="6" max="6"/>
    <col width="38" customWidth="1" style="29" min="7" max="7"/>
    <col width="42" customWidth="1" style="29" min="8" max="8"/>
  </cols>
  <sheetData>
    <row r="1" ht="25.5" customHeight="1" s="30">
      <c r="A1" s="31" t="inlineStr">
        <is>
          <t>Navaneeth Compact 40M v2.0 – Drehmoment und Kraefte</t>
        </is>
      </c>
    </row>
    <row r="2" ht="18" customHeight="1" s="30">
      <c r="A2" s="32" t="inlineStr">
        <is>
          <t>Drehmoment-, Bandzug- und Reaktionskraftberechnungen am Spindelantrieb und Bohrschraubergriff</t>
        </is>
      </c>
    </row>
    <row r="3"/>
    <row r="4" ht="24" customHeight="1" s="30">
      <c r="A4" s="33" t="inlineStr">
        <is>
          <t>Lastfall-ID</t>
        </is>
      </c>
      <c r="B4" s="33" t="inlineStr">
        <is>
          <t>Bezeichnung / Lastzustand</t>
        </is>
      </c>
      <c r="C4" s="33" t="inlineStr">
        <is>
          <t>Bandzug F_pull [N]</t>
        </is>
      </c>
      <c r="D4" s="33" t="inlineStr">
        <is>
          <t>Wirksamer Hebelarm R [mm]</t>
        </is>
      </c>
      <c r="E4" s="33" t="inlineStr">
        <is>
          <t>Spindelmoment M_spindel [Nm]</t>
        </is>
      </c>
      <c r="F4" s="33" t="inlineStr">
        <is>
          <t>Reaktionskraft am Griff F_grip (r=85mm) [N]</t>
        </is>
      </c>
      <c r="G4" s="33" t="inlineStr">
        <is>
          <t>Zulässiger Grenzwert</t>
        </is>
      </c>
      <c r="H4" s="33" t="inlineStr">
        <is>
          <t>Sicherheitsbewertung</t>
        </is>
      </c>
    </row>
    <row r="5" ht="19.5" customHeight="1" s="30">
      <c r="A5" s="34" t="inlineStr">
        <is>
          <t>TRQ-01</t>
        </is>
      </c>
      <c r="B5" s="35" t="inlineStr">
        <is>
          <t>Wickelbeginn am Kern (Nennbetrieb trocken)</t>
        </is>
      </c>
      <c r="C5" s="49">
        <f>Parameter_und_Einheiten!D25</f>
        <v/>
      </c>
      <c r="D5" s="36">
        <f>Parameter_und_Einheiten!D14</f>
        <v/>
      </c>
      <c r="E5" s="36">
        <f>C5*D5/1000</f>
        <v/>
      </c>
      <c r="F5" s="49">
        <f>E5/0.085</f>
        <v/>
      </c>
      <c r="G5" s="34" t="inlineStr">
        <is>
          <t>8,00 Nm (Kupplungsstufe 6)</t>
        </is>
      </c>
      <c r="H5" s="43" t="inlineStr">
        <is>
          <t>VALIDIERT (M = 1,82 Nm &lt;&lt; 8,0 Nm)</t>
        </is>
      </c>
    </row>
    <row r="6" ht="19.5" customHeight="1" s="30">
      <c r="A6" s="34" t="inlineStr">
        <is>
          <t>TRQ-02</t>
        </is>
      </c>
      <c r="B6" s="35" t="inlineStr">
        <is>
          <t>Wickelende am Außenradius (Nennbetrieb trocken)</t>
        </is>
      </c>
      <c r="C6" s="49">
        <f>Parameter_und_Einheiten!D25</f>
        <v/>
      </c>
      <c r="D6" s="36">
        <f>Wickelkapazitaet!F6</f>
        <v/>
      </c>
      <c r="E6" s="36">
        <f>C6*D6/1000</f>
        <v/>
      </c>
      <c r="F6" s="49">
        <f>E6/0.085</f>
        <v/>
      </c>
      <c r="G6" s="34" t="inlineStr">
        <is>
          <t>8,00 Nm (Kupplungsstufe 6)</t>
        </is>
      </c>
      <c r="H6" s="43" t="inlineStr">
        <is>
          <t>VALIDIERT (M = 3,38 Nm &lt;&lt; 8,0 Nm)</t>
        </is>
      </c>
    </row>
    <row r="7" ht="19.5" customHeight="1" s="30">
      <c r="A7" s="34" t="inlineStr">
        <is>
          <t>TRQ-03</t>
        </is>
      </c>
      <c r="B7" s="35" t="inlineStr">
        <is>
          <t>Wickelende feuchtes/verschmutztes Band (Erhöhte Reibung)</t>
        </is>
      </c>
      <c r="C7" s="49" t="n">
        <v>65</v>
      </c>
      <c r="D7" s="36">
        <f>Wickelkapazitaet!F6</f>
        <v/>
      </c>
      <c r="E7" s="36">
        <f>C7*D7/1000</f>
        <v/>
      </c>
      <c r="F7" s="49">
        <f>E7/0.085</f>
        <v/>
      </c>
      <c r="G7" s="34" t="inlineStr">
        <is>
          <t>8,00 Nm (Kupplungsstufe 6)</t>
        </is>
      </c>
      <c r="H7" s="43" t="inlineStr">
        <is>
          <t>VALIDIERT (M = 6,28 Nm &lt; 8,0 Nm)</t>
        </is>
      </c>
    </row>
    <row r="8" ht="19.5" customHeight="1" s="30">
      <c r="A8" s="34" t="inlineStr">
        <is>
          <t>TRQ-04</t>
        </is>
      </c>
      <c r="B8" s="35" t="inlineStr">
        <is>
          <t>Blockier-/Verhakungsfall mit Rutschkupplung (Stufe 6)</t>
        </is>
      </c>
      <c r="C8" s="49">
        <f>Parameter_und_Einheiten!D26</f>
        <v/>
      </c>
      <c r="D8" s="36">
        <f>Wickelkapazitaet!F6</f>
        <v/>
      </c>
      <c r="E8" s="36">
        <f>C8*D8/1000</f>
        <v/>
      </c>
      <c r="F8" s="49">
        <f>E8/0.085</f>
        <v/>
      </c>
      <c r="G8" s="34" t="inlineStr">
        <is>
          <t>12,00 Nm (Kupplung löst aus)</t>
        </is>
      </c>
      <c r="H8" s="43" t="inlineStr">
        <is>
          <t>VALIDIERT (M = 11,59 Nm; Bandriss &gt; 280 N verhindert)</t>
        </is>
      </c>
    </row>
    <row r="9" ht="19.5" customHeight="1" s="30">
      <c r="A9" s="34" t="inlineStr">
        <is>
          <t>TRQ-05</t>
        </is>
      </c>
      <c r="B9" s="35" t="inlineStr">
        <is>
          <t>Maximaler Katalog-Blockierfall INGCO CIDLI12206 (REV-04)</t>
        </is>
      </c>
      <c r="C9" s="49">
        <f>E9*1000/D9</f>
        <v/>
      </c>
      <c r="D9" s="36">
        <f>Wickelkapazitaet!F6</f>
        <v/>
      </c>
      <c r="E9" s="36">
        <f>Parameter_und_Einheiten!D22</f>
        <v/>
      </c>
      <c r="F9" s="49">
        <f>E9/0.085</f>
        <v/>
      </c>
      <c r="G9" s="34" t="inlineStr">
        <is>
          <t>20,00 Nm (Struktur-Auslegungslast)</t>
        </is>
      </c>
      <c r="H9" s="43" t="inlineStr">
        <is>
          <t>VALIDIERT (Drehmomentstütze P-21 hält 235,3 N sicher)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42" customWidth="1" style="29" min="2" max="2"/>
    <col width="35" customWidth="1" style="29" min="3" max="3"/>
    <col width="20" customWidth="1" style="29" min="4" max="4"/>
    <col width="12" customWidth="1" style="29" min="5" max="5"/>
    <col width="37" customWidth="1" style="29" min="6" max="6"/>
    <col width="28" customWidth="1" style="29" min="7" max="7"/>
    <col width="42" customWidth="1" style="29" min="8" max="8"/>
  </cols>
  <sheetData>
    <row r="1" ht="25.5" customHeight="1" s="30">
      <c r="A1" s="31" t="inlineStr">
        <is>
          <t>Navaneeth Compact 40M v2.0 – Welle und Lager</t>
        </is>
      </c>
    </row>
    <row r="2" ht="18" customHeight="1" s="30">
      <c r="A2" s="32" t="inlineStr">
        <is>
          <t>Festigkeitsnachweis Hauptspindel (REV-03), Kragarm-Führungsachse (REV-02) und SKF-Lagerlebensdauer</t>
        </is>
      </c>
    </row>
    <row r="3"/>
    <row r="4" ht="24" customHeight="1" s="30">
      <c r="A4" s="33" t="inlineStr">
        <is>
          <t>Nachweis-ID</t>
        </is>
      </c>
      <c r="B4" s="33" t="inlineStr">
        <is>
          <t>Bauteil / Querschnitt</t>
        </is>
      </c>
      <c r="C4" s="33" t="inlineStr">
        <is>
          <t>Belastungsgröße</t>
        </is>
      </c>
      <c r="D4" s="33" t="inlineStr">
        <is>
          <t>Berechneter Wert</t>
        </is>
      </c>
      <c r="E4" s="33" t="inlineStr">
        <is>
          <t>Einheit</t>
        </is>
      </c>
      <c r="F4" s="33" t="inlineStr">
        <is>
          <t>Zulässiger Wert (Werkstoff / SKF)</t>
        </is>
      </c>
      <c r="G4" s="33" t="inlineStr">
        <is>
          <t>Sicherheitsfaktor SF [-]</t>
        </is>
      </c>
      <c r="H4" s="33" t="inlineStr">
        <is>
          <t>Status / Kommentar</t>
        </is>
      </c>
    </row>
    <row r="5" ht="19.5" customHeight="1" s="30">
      <c r="A5" s="34" t="inlineStr">
        <is>
          <t>SHF-01</t>
        </is>
      </c>
      <c r="B5" s="35" t="inlineStr">
        <is>
          <t>Führungsachse v1.0 (Ø8 mm, L=121 mm, F_max=169,7 N)</t>
        </is>
      </c>
      <c r="C5" s="35" t="inlineStr">
        <is>
          <t>Biegespannung sigma_b</t>
        </is>
      </c>
      <c r="D5" s="36">
        <f>(169.71*121)/(PI()*8^3/32)</f>
        <v/>
      </c>
      <c r="E5" s="34" t="inlineStr">
        <is>
          <t>MPa</t>
        </is>
      </c>
      <c r="F5" s="36" t="n">
        <v>430</v>
      </c>
      <c r="G5" s="36">
        <f>F5/D5</f>
        <v/>
      </c>
      <c r="H5" s="45" t="inlineStr">
        <is>
          <t>SPERRPUNKT in v1.0 (SF=1,05; Durchbiegung 2,37 mm!)</t>
        </is>
      </c>
    </row>
    <row r="6" ht="19.5" customHeight="1" s="30">
      <c r="A6" s="38" t="inlineStr">
        <is>
          <t>SHF-02</t>
        </is>
      </c>
      <c r="B6" s="39" t="inlineStr">
        <is>
          <t>Führungsachse v2.0 Lagersitz (Ø15,00 k5, L=121 mm, REV-02)</t>
        </is>
      </c>
      <c r="C6" s="39" t="inlineStr">
        <is>
          <t>Biegespannung sigma_b</t>
        </is>
      </c>
      <c r="D6" s="40">
        <f>(169.71*121)/(PI()*15^3/32)</f>
        <v/>
      </c>
      <c r="E6" s="38" t="inlineStr">
        <is>
          <t>MPa</t>
        </is>
      </c>
      <c r="F6" s="40" t="n">
        <v>430</v>
      </c>
      <c r="G6" s="40">
        <f>F6/D6</f>
        <v/>
      </c>
      <c r="H6" s="43" t="inlineStr">
        <is>
          <t>VALIDIERT in v2.0 (SF=6,94; passt zu 6002-2RS d=15!)</t>
        </is>
      </c>
    </row>
    <row r="7" ht="19.5" customHeight="1" s="30">
      <c r="A7" s="34" t="inlineStr">
        <is>
          <t>SHF-03</t>
        </is>
      </c>
      <c r="B7" s="35" t="inlineStr">
        <is>
          <t>Führungsachse v2.0 Wurzelschulter (Ø16,0 mm bei X=-24, REV-02)</t>
        </is>
      </c>
      <c r="C7" s="35" t="inlineStr">
        <is>
          <t>Biegespannung sigma_b</t>
        </is>
      </c>
      <c r="D7" s="36">
        <f>(169.71*121)/(PI()*16^3/32)</f>
        <v/>
      </c>
      <c r="E7" s="34" t="inlineStr">
        <is>
          <t>MPa</t>
        </is>
      </c>
      <c r="F7" s="36" t="n">
        <v>430</v>
      </c>
      <c r="G7" s="36">
        <f>F7/D7</f>
        <v/>
      </c>
      <c r="H7" s="43" t="inlineStr">
        <is>
          <t>VALIDIERT in v2.0 (SF=8,42; Durchbiegung 0,15 mm)</t>
        </is>
      </c>
    </row>
    <row r="8" ht="19.5" customHeight="1" s="30">
      <c r="A8" s="38" t="inlineStr">
        <is>
          <t>SHF-04</t>
        </is>
      </c>
      <c r="B8" s="39" t="inlineStr">
        <is>
          <t>Hauptspindel v2.0 am Vorderlager X=-29 (Ø17,00 k5, F=141,6 N, T=20 Nm)</t>
        </is>
      </c>
      <c r="C8" s="39" t="inlineStr">
        <is>
          <t>Vergleichsspannung sigma_vM</t>
        </is>
      </c>
      <c r="D8" s="40">
        <f>SQRT(((141.6*87.5)/(PI()*17^3/32))^2 + 3*((20000)/(PI()*17^3/16))^2)</f>
        <v/>
      </c>
      <c r="E8" s="38" t="inlineStr">
        <is>
          <t>MPa</t>
        </is>
      </c>
      <c r="F8" s="40" t="n">
        <v>430</v>
      </c>
      <c r="G8" s="40">
        <f>F8/D8</f>
        <v/>
      </c>
      <c r="H8" s="43" t="inlineStr">
        <is>
          <t>VALIDIERT (Kombinierte Biegung + 20 Nm Torsion)</t>
        </is>
      </c>
    </row>
    <row r="9" ht="19.5" customHeight="1" s="30">
      <c r="A9" s="34" t="inlineStr">
        <is>
          <t>SHF-05</t>
        </is>
      </c>
      <c r="B9" s="35" t="inlineStr">
        <is>
          <t>Hauptspindel v2.0 Nettoquerschnitt an M6-Querbohrung X=-9 (REV-03)</t>
        </is>
      </c>
      <c r="C9" s="35" t="inlineStr">
        <is>
          <t>Vergleichsspannung sigma_vM_net</t>
        </is>
      </c>
      <c r="D9" s="36" t="n">
        <v>74.12</v>
      </c>
      <c r="E9" s="34" t="inlineStr">
        <is>
          <t>MPa</t>
        </is>
      </c>
      <c r="F9" s="36" t="n">
        <v>430</v>
      </c>
      <c r="G9" s="36">
        <f>F9/D9</f>
        <v/>
      </c>
      <c r="H9" s="43" t="inlineStr">
        <is>
          <t>VALIDIERT (Querschnittsschwächung Ø6 in Ø17 berücksichtigt)</t>
        </is>
      </c>
    </row>
    <row r="10" ht="19.5" customHeight="1" s="30">
      <c r="A10" s="38" t="inlineStr">
        <is>
          <t>SHF-06</t>
        </is>
      </c>
      <c r="B10" s="39" t="inlineStr">
        <is>
          <t>Querschraube M6x35 FK 8.8 bei X=-9 mm (Zweischnittige Scherung)</t>
        </is>
      </c>
      <c r="C10" s="39" t="inlineStr">
        <is>
          <t>Scherspannung tau_shear</t>
        </is>
      </c>
      <c r="D10" s="40">
        <f>(20000/17)/(PI()*6^2/4)</f>
        <v/>
      </c>
      <c r="E10" s="38" t="inlineStr">
        <is>
          <t>MPa</t>
        </is>
      </c>
      <c r="F10" s="40" t="n">
        <v>384</v>
      </c>
      <c r="G10" s="40">
        <f>F10/D10</f>
        <v/>
      </c>
      <c r="H10" s="43" t="inlineStr">
        <is>
          <t>VALIDIERT (Formschnittige Drehmomentübertragung REV-03)</t>
        </is>
      </c>
    </row>
    <row r="11" ht="19.5" customHeight="1" s="30">
      <c r="A11" s="34" t="inlineStr">
        <is>
          <t>BRG-01</t>
        </is>
      </c>
      <c r="B11" s="35" t="inlineStr">
        <is>
          <t>Vorderes Hauptlager 6003-2RS (X=-34..-24, SKF C0=3250 N)</t>
        </is>
      </c>
      <c r="C11" s="35" t="inlineStr">
        <is>
          <t>Max. Radiallast R_front_max</t>
        </is>
      </c>
      <c r="D11" s="36">
        <f>141.6*(50+87.5)/50</f>
        <v/>
      </c>
      <c r="E11" s="34" t="inlineStr">
        <is>
          <t>N</t>
        </is>
      </c>
      <c r="F11" s="36" t="n">
        <v>3250</v>
      </c>
      <c r="G11" s="36">
        <f>F11/D11</f>
        <v/>
      </c>
      <c r="H11" s="43" t="inlineStr">
        <is>
          <t>VALIDIERT (Statische Tragsicherheit S0 = 8,35)</t>
        </is>
      </c>
    </row>
    <row r="12" ht="19.5" customHeight="1" s="30">
      <c r="A12" s="38" t="inlineStr">
        <is>
          <t>BRG-02</t>
        </is>
      </c>
      <c r="B12" s="39" t="inlineStr">
        <is>
          <t>Hinteres Hauptlager 6003-2RS (X=-84..-74, SKF C0=3250 N)</t>
        </is>
      </c>
      <c r="C12" s="39" t="inlineStr">
        <is>
          <t>Max. Radiallast R_rear_max</t>
        </is>
      </c>
      <c r="D12" s="40">
        <f>141.6*87.5/50</f>
        <v/>
      </c>
      <c r="E12" s="38" t="inlineStr">
        <is>
          <t>N</t>
        </is>
      </c>
      <c r="F12" s="40" t="n">
        <v>3250</v>
      </c>
      <c r="G12" s="40">
        <f>F12/D12</f>
        <v/>
      </c>
      <c r="H12" s="43" t="inlineStr">
        <is>
          <t>VALIDIERT (Statische Tragsicherheit S0 = 13,12)</t>
        </is>
      </c>
    </row>
    <row r="13" ht="19.5" customHeight="1" s="30">
      <c r="A13" s="34" t="inlineStr">
        <is>
          <t>BRG-03</t>
        </is>
      </c>
      <c r="B13" s="35" t="inlineStr">
        <is>
          <t>Führungsrollenlager 6002-2RS (2x SKF C0=2850 N, REV-02)</t>
        </is>
      </c>
      <c r="C13" s="35" t="inlineStr">
        <is>
          <t>Max. Radiallast pro Lager</t>
        </is>
      </c>
      <c r="D13" s="36">
        <f>169.71*0.85</f>
        <v/>
      </c>
      <c r="E13" s="34" t="inlineStr">
        <is>
          <t>N</t>
        </is>
      </c>
      <c r="F13" s="36" t="n">
        <v>2850</v>
      </c>
      <c r="G13" s="36">
        <f>F13/D13</f>
        <v/>
      </c>
      <c r="H13" s="43" t="inlineStr">
        <is>
          <t>VALIDIERT (Statische Tragsicherheit S0 = 19,76)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42" customWidth="1" style="29" min="2" max="3"/>
    <col width="20" customWidth="1" style="29" min="4" max="4"/>
    <col width="12" customWidth="1" style="29" min="5" max="5"/>
    <col width="40" customWidth="1" style="29" min="6" max="6"/>
    <col width="28" customWidth="1" style="29" min="7" max="7"/>
    <col width="42" customWidth="1" style="29" min="8" max="8"/>
  </cols>
  <sheetData>
    <row r="1" ht="25.5" customHeight="1" s="30">
      <c r="A1" s="31" t="inlineStr">
        <is>
          <t>Navaneeth Compact 40M v2.0 – Rahmen und Festigkeit</t>
        </is>
      </c>
    </row>
    <row r="2" ht="18" customHeight="1" s="30">
      <c r="A2" s="32" t="inlineStr">
        <is>
          <t>Festigkeitsnachweis Führungsarm, Chassisplatte, Drehmomentstütze, Flanschschlitze (REV-01) und Kippsicherheit</t>
        </is>
      </c>
    </row>
    <row r="3"/>
    <row r="4" ht="24" customHeight="1" s="30">
      <c r="A4" s="33" t="inlineStr">
        <is>
          <t>Struktur-ID</t>
        </is>
      </c>
      <c r="B4" s="33" t="inlineStr">
        <is>
          <t>Bauteil / Nachweisstelle</t>
        </is>
      </c>
      <c r="C4" s="33" t="inlineStr">
        <is>
          <t>Lastannahme</t>
        </is>
      </c>
      <c r="D4" s="33" t="inlineStr">
        <is>
          <t>Berechnete Größe</t>
        </is>
      </c>
      <c r="E4" s="33" t="inlineStr">
        <is>
          <t>Einheit</t>
        </is>
      </c>
      <c r="F4" s="33" t="inlineStr">
        <is>
          <t>Zulässiger Grenzwert (EN AW-6061-T6)</t>
        </is>
      </c>
      <c r="G4" s="33" t="inlineStr">
        <is>
          <t>Sicherheitsfaktor SF [-]</t>
        </is>
      </c>
      <c r="H4" s="33" t="inlineStr">
        <is>
          <t>Bewertung</t>
        </is>
      </c>
    </row>
    <row r="5" ht="19.5" customHeight="1" s="30">
      <c r="A5" s="34" t="inlineStr">
        <is>
          <t>STR-01</t>
        </is>
      </c>
      <c r="B5" s="35" t="inlineStr">
        <is>
          <t>Verstärkter Führungsarm P-12 (B=28, t=8 mm, Hebel 73 mm, REV-02)</t>
        </is>
      </c>
      <c r="C5" s="35" t="inlineStr">
        <is>
          <t>Biegespannung am oberen M5-Loch</t>
        </is>
      </c>
      <c r="D5" s="36">
        <f>(120*73)/((28*8^2)/6)</f>
        <v/>
      </c>
      <c r="E5" s="34" t="inlineStr">
        <is>
          <t>MPa</t>
        </is>
      </c>
      <c r="F5" s="36" t="n">
        <v>240</v>
      </c>
      <c r="G5" s="36">
        <f>F5/D5</f>
        <v/>
      </c>
      <c r="H5" s="43" t="inlineStr">
        <is>
          <t>VALIDIERT (Wandstärke 8 mm reduziert Spannung auf 29,3 MPa)</t>
        </is>
      </c>
    </row>
    <row r="6" ht="19.5" customHeight="1" s="30">
      <c r="A6" s="38" t="inlineStr">
        <is>
          <t>STR-02</t>
        </is>
      </c>
      <c r="B6" s="39" t="inlineStr">
        <is>
          <t>Flansch-Reststeg an 3 Umreifungsschlitzen (REV-01, t=3 mm)</t>
        </is>
      </c>
      <c r="C6" s="39" t="inlineStr">
        <is>
          <t>Biegespannung durch Seitenlast 60 N</t>
        </is>
      </c>
      <c r="D6" s="40" t="n">
        <v>24.8</v>
      </c>
      <c r="E6" s="38" t="inlineStr">
        <is>
          <t>MPa</t>
        </is>
      </c>
      <c r="F6" s="40" t="n">
        <v>240</v>
      </c>
      <c r="G6" s="40">
        <f>F6/D6</f>
        <v/>
      </c>
      <c r="H6" s="43" t="inlineStr">
        <is>
          <t>VALIDIERT (Außenring R=103..110 mm geschlossen ausgeführt)</t>
        </is>
      </c>
    </row>
    <row r="7" ht="19.5" customHeight="1" s="30">
      <c r="A7" s="34" t="inlineStr">
        <is>
          <t>STR-03</t>
        </is>
      </c>
      <c r="B7" s="35" t="inlineStr">
        <is>
          <t>Konischer Trommelmantel mit 3 Kanälen (t=2,0 mm, REV-01)</t>
        </is>
      </c>
      <c r="C7" s="35" t="inlineStr">
        <is>
          <t>Radiale Wickeldruckspannung</t>
        </is>
      </c>
      <c r="D7" s="36" t="n">
        <v>18.4</v>
      </c>
      <c r="E7" s="34" t="inlineStr">
        <is>
          <t>MPa</t>
        </is>
      </c>
      <c r="F7" s="36" t="n">
        <v>240</v>
      </c>
      <c r="G7" s="36">
        <f>F7/D7</f>
        <v/>
      </c>
      <c r="H7" s="43" t="inlineStr">
        <is>
          <t>VALIDIERT (Beul- und Biegesicherheit SF &gt; 10)</t>
        </is>
      </c>
    </row>
    <row r="8" ht="19.5" customHeight="1" s="30">
      <c r="A8" s="38" t="inlineStr">
        <is>
          <t>STR-04</t>
        </is>
      </c>
      <c r="B8" s="39" t="inlineStr">
        <is>
          <t>Haupt-Chassisplatte P-11 (t=4,0 mm EN AW-6061-T6)</t>
        </is>
      </c>
      <c r="C8" s="39" t="inlineStr">
        <is>
          <t>Biege-/Lochleibungsspannung M5</t>
        </is>
      </c>
      <c r="D8" s="40" t="n">
        <v>31.5</v>
      </c>
      <c r="E8" s="38" t="inlineStr">
        <is>
          <t>MPa</t>
        </is>
      </c>
      <c r="F8" s="40" t="n">
        <v>240</v>
      </c>
      <c r="G8" s="40">
        <f>F8/D8</f>
        <v/>
      </c>
      <c r="H8" s="43" t="inlineStr">
        <is>
          <t>VALIDIERT (4x M5 auf Teilkreis R=28 mm tragen Gehäuse sicher)</t>
        </is>
      </c>
    </row>
    <row r="9" ht="19.5" customHeight="1" s="30">
      <c r="A9" s="34" t="inlineStr">
        <is>
          <t>STR-05</t>
        </is>
      </c>
      <c r="B9" s="35" t="inlineStr">
        <is>
          <t>Bohrschrauber-Drehmomentstütze P-21 (M_max = 20 Nm, REV-04)</t>
        </is>
      </c>
      <c r="C9" s="35" t="inlineStr">
        <is>
          <t>Biegespannung U-Profil (W_b = 600 mm³)</t>
        </is>
      </c>
      <c r="D9" s="36">
        <f>(235.294*75)/600</f>
        <v/>
      </c>
      <c r="E9" s="34" t="inlineStr">
        <is>
          <t>MPa</t>
        </is>
      </c>
      <c r="F9" s="36" t="n">
        <v>240</v>
      </c>
      <c r="G9" s="36">
        <f>F9/D9</f>
        <v/>
      </c>
      <c r="H9" s="43" t="inlineStr">
        <is>
          <t>VALIDIERT (Reaktionsmoment vollständig im Rahmen abgestützt)</t>
        </is>
      </c>
    </row>
    <row r="10" ht="19.5" customHeight="1" s="30">
      <c r="A10" s="38" t="inlineStr">
        <is>
          <t>STR-06</t>
        </is>
      </c>
      <c r="B10" s="39" t="inlineStr">
        <is>
          <t>Ventilseitige Zugentlastungsklemme P-22 (F_max = 120 N)</t>
        </is>
      </c>
      <c r="C10" s="39" t="inlineStr">
        <is>
          <t>Klemmhalte- &amp; Biegespannung</t>
        </is>
      </c>
      <c r="D10" s="40" t="n">
        <v>16.2</v>
      </c>
      <c r="E10" s="38" t="inlineStr">
        <is>
          <t>MPa</t>
        </is>
      </c>
      <c r="F10" s="40" t="n">
        <v>240</v>
      </c>
      <c r="G10" s="40">
        <f>F10/D10</f>
        <v/>
      </c>
      <c r="H10" s="43" t="inlineStr">
        <is>
          <t>VALIDIERT (Isoliert 100 % der Bandzugkräfte vom Ventil)</t>
        </is>
      </c>
    </row>
    <row r="11" ht="19.5" customHeight="1" s="30">
      <c r="A11" s="34" t="inlineStr">
        <is>
          <t>STR-07</t>
        </is>
      </c>
      <c r="B11" s="35" t="inlineStr">
        <is>
          <t>Standsicherheit / Kippsicherheit bei Bandzug F_nom = 35 N (Z=285)</t>
        </is>
      </c>
      <c r="C11" s="35" t="inlineStr">
        <is>
          <t>Standmoment vs. Kippmoment (mit Fuß auf P-20)</t>
        </is>
      </c>
      <c r="D11" s="36" t="n">
        <v>38.5</v>
      </c>
      <c r="E11" s="34" t="inlineStr">
        <is>
          <t>Nm</t>
        </is>
      </c>
      <c r="F11" s="36" t="n">
        <v>9.98</v>
      </c>
      <c r="G11" s="36">
        <f>D11/F11</f>
        <v/>
      </c>
      <c r="H11" s="43" t="inlineStr">
        <is>
          <t>VALIDIERT (Mit Bedienerfuß auf Fußplatte P-20 SF = 3,86)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H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9" min="1" max="1"/>
    <col width="42" customWidth="1" style="29" min="2" max="2"/>
    <col width="25" customWidth="1" style="29" min="3" max="3"/>
    <col width="18" customWidth="1" style="29" min="4" max="4"/>
    <col width="27" customWidth="1" style="29" min="5" max="5"/>
    <col width="16" customWidth="1" style="29" min="6" max="6"/>
    <col width="20" customWidth="1" style="29" min="7" max="8"/>
  </cols>
  <sheetData>
    <row r="1" ht="25.5" customHeight="1" s="30">
      <c r="A1" s="31" t="inlineStr">
        <is>
          <t>Navaneeth Compact 40M v2.0 – Massenbudget</t>
        </is>
      </c>
    </row>
    <row r="2" ht="18" customHeight="1" s="30">
      <c r="A2" s="32" t="inlineStr">
        <is>
          <t>Vollständige materialbasierte Massenbilanz (Ziel &lt;= 5,000 kg ohne Bohrschrauber und Akku)</t>
        </is>
      </c>
    </row>
    <row r="3"/>
    <row r="4" ht="24" customHeight="1" s="30">
      <c r="A4" s="33" t="inlineStr">
        <is>
          <t>Bauteil-ID</t>
        </is>
      </c>
      <c r="B4" s="33" t="inlineStr">
        <is>
          <t>Bezeichnung</t>
        </is>
      </c>
      <c r="C4" s="33" t="inlineStr">
        <is>
          <t>Werkstoff</t>
        </is>
      </c>
      <c r="D4" s="33" t="inlineStr">
        <is>
          <t>Dichte [g/cm³]</t>
        </is>
      </c>
      <c r="E4" s="33" t="inlineStr">
        <is>
          <t>Volumen pro Stück [cm³]</t>
        </is>
      </c>
      <c r="F4" s="33" t="inlineStr">
        <is>
          <t>Anzahl [-]</t>
        </is>
      </c>
      <c r="G4" s="33" t="inlineStr">
        <is>
          <t>Einzelmasse [kg]</t>
        </is>
      </c>
      <c r="H4" s="33" t="inlineStr">
        <is>
          <t>Gesamtmasse [kg]</t>
        </is>
      </c>
    </row>
    <row r="5" ht="19.5" customHeight="1" s="30">
      <c r="A5" s="34" t="inlineStr">
        <is>
          <t>P-01</t>
        </is>
      </c>
      <c r="B5" s="35" t="inlineStr">
        <is>
          <t>Hinterer Flansch mit angeschweißter Nabe (REV-01/03)</t>
        </is>
      </c>
      <c r="C5" s="35" t="inlineStr">
        <is>
          <t>EN AW-6061-T6</t>
        </is>
      </c>
      <c r="D5" s="36" t="n">
        <v>2.7</v>
      </c>
      <c r="E5" s="36" t="n">
        <v>121.66</v>
      </c>
      <c r="F5" s="46" t="n">
        <v>1</v>
      </c>
      <c r="G5" s="50">
        <f>D5*E5/1000</f>
        <v/>
      </c>
      <c r="H5" s="50">
        <f>F5*G5</f>
        <v/>
      </c>
    </row>
    <row r="6" ht="19.5" customHeight="1" s="30">
      <c r="A6" s="38" t="inlineStr">
        <is>
          <t>P-02</t>
        </is>
      </c>
      <c r="B6" s="39" t="inlineStr">
        <is>
          <t>Konische Trommel mit 3 Umreifungskanälen (REV-01)</t>
        </is>
      </c>
      <c r="C6" s="39" t="inlineStr">
        <is>
          <t>EN AW-6061-T6</t>
        </is>
      </c>
      <c r="D6" s="40" t="n">
        <v>2.7</v>
      </c>
      <c r="E6" s="40" t="n">
        <v>95.44</v>
      </c>
      <c r="F6" s="47" t="n">
        <v>1</v>
      </c>
      <c r="G6" s="51">
        <f>D6*E6/1000</f>
        <v/>
      </c>
      <c r="H6" s="51">
        <f>F6*G6</f>
        <v/>
      </c>
    </row>
    <row r="7" ht="19.5" customHeight="1" s="30">
      <c r="A7" s="34" t="inlineStr">
        <is>
          <t>P-03</t>
        </is>
      </c>
      <c r="B7" s="35" t="inlineStr">
        <is>
          <t>Klett-Umreifungsbänder 15x380 mm</t>
        </is>
      </c>
      <c r="C7" s="35" t="inlineStr">
        <is>
          <t>PP/PA Gewebeband</t>
        </is>
      </c>
      <c r="D7" s="36" t="n">
        <v>0.91</v>
      </c>
      <c r="E7" s="36" t="n">
        <v>8.550000000000001</v>
      </c>
      <c r="F7" s="46" t="n">
        <v>3</v>
      </c>
      <c r="G7" s="50">
        <f>D7*E7/1000</f>
        <v/>
      </c>
      <c r="H7" s="50">
        <f>F7*G7</f>
        <v/>
      </c>
    </row>
    <row r="8" ht="19.5" customHeight="1" s="30">
      <c r="A8" s="38" t="inlineStr">
        <is>
          <t>P-04</t>
        </is>
      </c>
      <c r="B8" s="39" t="inlineStr">
        <is>
          <t>Vorderer abnehmbarer Schutzflansch mit Bund (REV-01)</t>
        </is>
      </c>
      <c r="C8" s="39" t="inlineStr">
        <is>
          <t>EN AW-6061-T6</t>
        </is>
      </c>
      <c r="D8" s="40" t="n">
        <v>2.7</v>
      </c>
      <c r="E8" s="40" t="n">
        <v>100.03</v>
      </c>
      <c r="F8" s="47" t="n">
        <v>1</v>
      </c>
      <c r="G8" s="51">
        <f>D8*E8/1000</f>
        <v/>
      </c>
      <c r="H8" s="51">
        <f>F8*G8</f>
        <v/>
      </c>
    </row>
    <row r="9" ht="19.5" customHeight="1" s="30">
      <c r="A9" s="34" t="inlineStr">
        <is>
          <t>P-05</t>
        </is>
      </c>
      <c r="B9" s="35" t="inlineStr">
        <is>
          <t>Axiale Haltescheibe Ø34/Ø17,2x2 mm</t>
        </is>
      </c>
      <c r="C9" s="35" t="inlineStr">
        <is>
          <t>C45E verzinkt</t>
        </is>
      </c>
      <c r="D9" s="36" t="n">
        <v>7.85</v>
      </c>
      <c r="E9" s="36" t="n">
        <v>1.35</v>
      </c>
      <c r="F9" s="46" t="n">
        <v>1</v>
      </c>
      <c r="G9" s="50">
        <f>D9*E9/1000</f>
        <v/>
      </c>
      <c r="H9" s="50">
        <f>F9*G9</f>
        <v/>
      </c>
    </row>
    <row r="10" ht="19.5" customHeight="1" s="30">
      <c r="A10" s="38" t="inlineStr">
        <is>
          <t>P-06</t>
        </is>
      </c>
      <c r="B10" s="39" t="inlineStr">
        <is>
          <t>Sicherungspin Klappstecker Ø6x30 mm mit Zugring</t>
        </is>
      </c>
      <c r="C10" s="39" t="inlineStr">
        <is>
          <t>C45E verzinkt</t>
        </is>
      </c>
      <c r="D10" s="40" t="n">
        <v>7.85</v>
      </c>
      <c r="E10" s="40" t="n">
        <v>1.16</v>
      </c>
      <c r="F10" s="47" t="n">
        <v>1</v>
      </c>
      <c r="G10" s="51">
        <f>D10*E10/1000</f>
        <v/>
      </c>
      <c r="H10" s="51">
        <f>F10*G10</f>
        <v/>
      </c>
    </row>
    <row r="11" ht="19.5" customHeight="1" s="30">
      <c r="A11" s="34" t="inlineStr">
        <is>
          <t>P-07</t>
        </is>
      </c>
      <c r="B11" s="35" t="inlineStr">
        <is>
          <t>Hauptspindel Ø17,00 k5 mit 3/8"-Antriebszapfen (REV-03)</t>
        </is>
      </c>
      <c r="C11" s="35" t="inlineStr">
        <is>
          <t>C45E +QT</t>
        </is>
      </c>
      <c r="D11" s="36" t="n">
        <v>7.85</v>
      </c>
      <c r="E11" s="36" t="n">
        <v>50.37</v>
      </c>
      <c r="F11" s="46" t="n">
        <v>1</v>
      </c>
      <c r="G11" s="50">
        <f>D11*E11/1000</f>
        <v/>
      </c>
      <c r="H11" s="50">
        <f>F11*G11</f>
        <v/>
      </c>
    </row>
    <row r="12" ht="19.5" customHeight="1" s="30">
      <c r="A12" s="38" t="inlineStr">
        <is>
          <t>P-08</t>
        </is>
      </c>
      <c r="B12" s="39" t="inlineStr">
        <is>
          <t>Rillenkugellager 6003-2RS (17x35x10 mm, SKF Katalog)</t>
        </is>
      </c>
      <c r="C12" s="39" t="inlineStr">
        <is>
          <t>100Cr6 Wälzlagerstahl</t>
        </is>
      </c>
      <c r="D12" s="40" t="n">
        <v>7.81</v>
      </c>
      <c r="E12" s="40" t="n">
        <v>4.99</v>
      </c>
      <c r="F12" s="47" t="n">
        <v>2</v>
      </c>
      <c r="G12" s="51">
        <f>D12*E12/1000</f>
        <v/>
      </c>
      <c r="H12" s="51">
        <f>F12*G12</f>
        <v/>
      </c>
    </row>
    <row r="13" ht="19.5" customHeight="1" s="30">
      <c r="A13" s="34" t="inlineStr">
        <is>
          <t>P-09</t>
        </is>
      </c>
      <c r="B13" s="35" t="inlineStr">
        <is>
          <t>Abgesetztes Lagergehäuse mit Innenschulter (REV-03)</t>
        </is>
      </c>
      <c r="C13" s="35" t="inlineStr">
        <is>
          <t>EN AW-6061-T6</t>
        </is>
      </c>
      <c r="D13" s="36" t="n">
        <v>2.7</v>
      </c>
      <c r="E13" s="36" t="n">
        <v>53.78</v>
      </c>
      <c r="F13" s="46" t="n">
        <v>1</v>
      </c>
      <c r="G13" s="50">
        <f>D13*E13/1000</f>
        <v/>
      </c>
      <c r="H13" s="50">
        <f>F13*G13</f>
        <v/>
      </c>
    </row>
    <row r="14" ht="19.5" customHeight="1" s="30">
      <c r="A14" s="38" t="inlineStr">
        <is>
          <t>P-10</t>
        </is>
      </c>
      <c r="B14" s="39" t="inlineStr">
        <is>
          <t>Lager-Distanzhülse Innenring Ø22/Ø17,1x40 mm</t>
        </is>
      </c>
      <c r="C14" s="39" t="inlineStr">
        <is>
          <t>EN AW-6061-T6</t>
        </is>
      </c>
      <c r="D14" s="40" t="n">
        <v>2.7</v>
      </c>
      <c r="E14" s="40" t="n">
        <v>6.03</v>
      </c>
      <c r="F14" s="47" t="n">
        <v>1</v>
      </c>
      <c r="G14" s="51">
        <f>D14*E14/1000</f>
        <v/>
      </c>
      <c r="H14" s="51">
        <f>F14*G14</f>
        <v/>
      </c>
    </row>
    <row r="15" ht="19.5" customHeight="1" s="30">
      <c r="A15" s="34" t="inlineStr">
        <is>
          <t>P-11</t>
        </is>
      </c>
      <c r="B15" s="35" t="inlineStr">
        <is>
          <t>Haupt-Chassisplatte 150x170x4 mm (mit Erleichterungen)</t>
        </is>
      </c>
      <c r="C15" s="35" t="inlineStr">
        <is>
          <t>EN AW-6061-T6</t>
        </is>
      </c>
      <c r="D15" s="36" t="n">
        <v>2.7</v>
      </c>
      <c r="E15" s="36" t="n">
        <v>82.59</v>
      </c>
      <c r="F15" s="46" t="n">
        <v>1</v>
      </c>
      <c r="G15" s="50">
        <f>D15*E15/1000</f>
        <v/>
      </c>
      <c r="H15" s="50">
        <f>F15*G15</f>
        <v/>
      </c>
    </row>
    <row r="16" ht="19.5" customHeight="1" s="30">
      <c r="A16" s="38" t="inlineStr">
        <is>
          <t>P-12</t>
        </is>
      </c>
      <c r="B16" s="39" t="inlineStr">
        <is>
          <t>Verstärkter Führungsarm 28x95x8 mm (REV-02)</t>
        </is>
      </c>
      <c r="C16" s="39" t="inlineStr">
        <is>
          <t>EN AW-6061-T6</t>
        </is>
      </c>
      <c r="D16" s="40" t="n">
        <v>2.7</v>
      </c>
      <c r="E16" s="40" t="n">
        <v>20.26</v>
      </c>
      <c r="F16" s="47" t="n">
        <v>1</v>
      </c>
      <c r="G16" s="51">
        <f>D16*E16/1000</f>
        <v/>
      </c>
      <c r="H16" s="51">
        <f>F16*G16</f>
        <v/>
      </c>
    </row>
    <row r="17" ht="19.5" customHeight="1" s="30">
      <c r="A17" s="34" t="inlineStr">
        <is>
          <t>P-13</t>
        </is>
      </c>
      <c r="B17" s="35" t="inlineStr">
        <is>
          <t>Kragarm-Führungsachse Ø16/Ø15,00 k5 hohlgebohrt (REV-02)</t>
        </is>
      </c>
      <c r="C17" s="35" t="inlineStr">
        <is>
          <t>C45E +QT</t>
        </is>
      </c>
      <c r="D17" s="36" t="n">
        <v>7.85</v>
      </c>
      <c r="E17" s="36" t="n">
        <v>22.01</v>
      </c>
      <c r="F17" s="46" t="n">
        <v>1</v>
      </c>
      <c r="G17" s="50">
        <f>D17*E17/1000</f>
        <v/>
      </c>
      <c r="H17" s="50">
        <f>F17*G17</f>
        <v/>
      </c>
    </row>
    <row r="18" ht="19.5" customHeight="1" s="30">
      <c r="A18" s="38" t="inlineStr">
        <is>
          <t>P-14</t>
        </is>
      </c>
      <c r="B18" s="39" t="inlineStr">
        <is>
          <t>Rillenkugellager 6002-2RS (15x32x9 mm, SKF, REV-02)</t>
        </is>
      </c>
      <c r="C18" s="39" t="inlineStr">
        <is>
          <t>100Cr6 Wälzlagerstahl</t>
        </is>
      </c>
      <c r="D18" s="40" t="n">
        <v>7.81</v>
      </c>
      <c r="E18" s="40" t="n">
        <v>3.84</v>
      </c>
      <c r="F18" s="47" t="n">
        <v>2</v>
      </c>
      <c r="G18" s="51">
        <f>D18*E18/1000</f>
        <v/>
      </c>
      <c r="H18" s="51">
        <f>F18*G18</f>
        <v/>
      </c>
    </row>
    <row r="19" ht="19.5" customHeight="1" s="30">
      <c r="A19" s="34" t="inlineStr">
        <is>
          <t>P-15</t>
        </is>
      </c>
      <c r="B19" s="35" t="inlineStr">
        <is>
          <t>Band-Führungsrolle Ø38x132 mm (REV-02)</t>
        </is>
      </c>
      <c r="C19" s="35" t="inlineStr">
        <is>
          <t>POM-C</t>
        </is>
      </c>
      <c r="D19" s="36" t="n">
        <v>1.41</v>
      </c>
      <c r="E19" s="36" t="n">
        <v>74.68000000000001</v>
      </c>
      <c r="F19" s="46" t="n">
        <v>1</v>
      </c>
      <c r="G19" s="50">
        <f>D19*E19/1000</f>
        <v/>
      </c>
      <c r="H19" s="50">
        <f>F19*G19</f>
        <v/>
      </c>
    </row>
    <row r="20" ht="19.5" customHeight="1" s="30">
      <c r="A20" s="38" t="inlineStr">
        <is>
          <t>P-16</t>
        </is>
      </c>
      <c r="B20" s="39" t="inlineStr">
        <is>
          <t>4-Spur-Bandführungsschlitten X=19/45/71/97 (REV-06)</t>
        </is>
      </c>
      <c r="C20" s="39" t="inlineStr">
        <is>
          <t>POM-C</t>
        </is>
      </c>
      <c r="D20" s="40" t="n">
        <v>1.41</v>
      </c>
      <c r="E20" s="40" t="n">
        <v>15.42</v>
      </c>
      <c r="F20" s="47" t="n">
        <v>1</v>
      </c>
      <c r="G20" s="51">
        <f>D20*E20/1000</f>
        <v/>
      </c>
      <c r="H20" s="51">
        <f>F20*G20</f>
        <v/>
      </c>
    </row>
    <row r="21" ht="19.5" customHeight="1" s="30">
      <c r="A21" s="34" t="inlineStr">
        <is>
          <t>P-17</t>
        </is>
      </c>
      <c r="B21" s="35" t="inlineStr">
        <is>
          <t>Beinleisten 20x82x4 mm (Links &amp; Rechts)</t>
        </is>
      </c>
      <c r="C21" s="35" t="inlineStr">
        <is>
          <t>EN AW-6061-T6</t>
        </is>
      </c>
      <c r="D21" s="36" t="n">
        <v>2.7</v>
      </c>
      <c r="E21" s="36" t="n">
        <v>6.37</v>
      </c>
      <c r="F21" s="46" t="n">
        <v>2</v>
      </c>
      <c r="G21" s="50">
        <f>D21*E21/1000</f>
        <v/>
      </c>
      <c r="H21" s="50">
        <f>F21*G21</f>
        <v/>
      </c>
    </row>
    <row r="22" ht="19.5" customHeight="1" s="30">
      <c r="A22" s="38" t="inlineStr">
        <is>
          <t>P-18</t>
        </is>
      </c>
      <c r="B22" s="39" t="inlineStr">
        <is>
          <t>Querträger Hohlprofil 20x20x2,5x240 mm</t>
        </is>
      </c>
      <c r="C22" s="39" t="inlineStr">
        <is>
          <t>EN AW-6061-T6</t>
        </is>
      </c>
      <c r="D22" s="40" t="n">
        <v>2.7</v>
      </c>
      <c r="E22" s="40" t="n">
        <v>42</v>
      </c>
      <c r="F22" s="47" t="n">
        <v>1</v>
      </c>
      <c r="G22" s="51">
        <f>D22*E22/1000</f>
        <v/>
      </c>
      <c r="H22" s="51">
        <f>F22*G22</f>
        <v/>
      </c>
    </row>
    <row r="23" ht="19.5" customHeight="1" s="30">
      <c r="A23" s="34" t="inlineStr">
        <is>
          <t>P-19</t>
        </is>
      </c>
      <c r="B23" s="35" t="inlineStr">
        <is>
          <t>Bodenschienen Hohlprofil 20x20x2,5x240 mm (L &amp; R)</t>
        </is>
      </c>
      <c r="C23" s="35" t="inlineStr">
        <is>
          <t>EN AW-6061-T6</t>
        </is>
      </c>
      <c r="D23" s="36" t="n">
        <v>2.7</v>
      </c>
      <c r="E23" s="36" t="n">
        <v>42</v>
      </c>
      <c r="F23" s="46" t="n">
        <v>2</v>
      </c>
      <c r="G23" s="50">
        <f>D23*E23/1000</f>
        <v/>
      </c>
      <c r="H23" s="50">
        <f>F23*G23</f>
        <v/>
      </c>
    </row>
    <row r="24" ht="19.5" customHeight="1" s="30">
      <c r="A24" s="38" t="inlineStr">
        <is>
          <t>P-20</t>
        </is>
      </c>
      <c r="B24" s="39" t="inlineStr">
        <is>
          <t>Fußplatte mit 4 Antirutsch-Rippen Z=12..18 (REV-05)</t>
        </is>
      </c>
      <c r="C24" s="39" t="inlineStr">
        <is>
          <t>EN AW-6061-T6</t>
        </is>
      </c>
      <c r="D24" s="40" t="n">
        <v>2.7</v>
      </c>
      <c r="E24" s="40" t="n">
        <v>46.59</v>
      </c>
      <c r="F24" s="47" t="n">
        <v>1</v>
      </c>
      <c r="G24" s="51">
        <f>D24*E24/1000</f>
        <v/>
      </c>
      <c r="H24" s="51">
        <f>F24*G24</f>
        <v/>
      </c>
    </row>
    <row r="25" ht="19.5" customHeight="1" s="30">
      <c r="A25" s="34" t="inlineStr">
        <is>
          <t>P-21</t>
        </is>
      </c>
      <c r="B25" s="35" t="inlineStr">
        <is>
          <t>Bohrschrauber-Drehmomentstütze &amp; Griffklemme (REV-04)</t>
        </is>
      </c>
      <c r="C25" s="35" t="inlineStr">
        <is>
          <t>EN AW-6061-T6</t>
        </is>
      </c>
      <c r="D25" s="36" t="n">
        <v>2.7</v>
      </c>
      <c r="E25" s="36" t="n">
        <v>53.59</v>
      </c>
      <c r="F25" s="46" t="n">
        <v>1</v>
      </c>
      <c r="G25" s="50">
        <f>D25*E25/1000</f>
        <v/>
      </c>
      <c r="H25" s="50">
        <f>F25*G25</f>
        <v/>
      </c>
    </row>
    <row r="26" ht="19.5" customHeight="1" s="30">
      <c r="A26" s="38" t="inlineStr">
        <is>
          <t>P-22</t>
        </is>
      </c>
      <c r="B26" s="39" t="inlineStr">
        <is>
          <t>Ventilseitige Zugentlastungs- und Parkklemme</t>
        </is>
      </c>
      <c r="C26" s="39" t="inlineStr">
        <is>
          <t>EN AW-6061-T6</t>
        </is>
      </c>
      <c r="D26" s="40" t="n">
        <v>2.7</v>
      </c>
      <c r="E26" s="40" t="n">
        <v>16.41</v>
      </c>
      <c r="F26" s="47" t="n">
        <v>1</v>
      </c>
      <c r="G26" s="51">
        <f>D26*E26/1000</f>
        <v/>
      </c>
      <c r="H26" s="51">
        <f>F26*G26</f>
        <v/>
      </c>
    </row>
    <row r="27" ht="19.5" customHeight="1" s="30">
      <c r="A27" s="34" t="inlineStr">
        <is>
          <t>P-23A</t>
        </is>
      </c>
      <c r="B27" s="35" t="inlineStr">
        <is>
          <t>Vordere Elastomerdämpfer-Standfüße Ø24x28 mm</t>
        </is>
      </c>
      <c r="C27" s="35" t="inlineStr">
        <is>
          <t>NBR 70 Shore A</t>
        </is>
      </c>
      <c r="D27" s="36" t="n">
        <v>1.25</v>
      </c>
      <c r="E27" s="36" t="n">
        <v>11.88</v>
      </c>
      <c r="F27" s="46" t="n">
        <v>2</v>
      </c>
      <c r="G27" s="50">
        <f>D27*E27/1000</f>
        <v/>
      </c>
      <c r="H27" s="50">
        <f>F27*G27</f>
        <v/>
      </c>
    </row>
    <row r="28" ht="19.5" customHeight="1" s="30">
      <c r="A28" s="38" t="inlineStr">
        <is>
          <t>P-23B</t>
        </is>
      </c>
      <c r="B28" s="39" t="inlineStr">
        <is>
          <t>Hintere Elastomerdämpfer-Pads Ø24x12 mm (REV-05)</t>
        </is>
      </c>
      <c r="C28" s="39" t="inlineStr">
        <is>
          <t>NBR 70 Shore A</t>
        </is>
      </c>
      <c r="D28" s="40" t="n">
        <v>1.25</v>
      </c>
      <c r="E28" s="40" t="n">
        <v>5.09</v>
      </c>
      <c r="F28" s="47" t="n">
        <v>4</v>
      </c>
      <c r="G28" s="51">
        <f>D28*E28/1000</f>
        <v/>
      </c>
      <c r="H28" s="51">
        <f>F28*G28</f>
        <v/>
      </c>
    </row>
    <row r="29" ht="19.5" customHeight="1" s="30">
      <c r="A29" s="34" t="inlineStr">
        <is>
          <t>FAST</t>
        </is>
      </c>
      <c r="B29" s="35" t="inlineStr">
        <is>
          <t>Kompletter Normbefestigersatz (34 Verschraubungen F-01..F-34)</t>
        </is>
      </c>
      <c r="C29" s="35" t="inlineStr">
        <is>
          <t>Stahl FK 8.8 verzinkt</t>
        </is>
      </c>
      <c r="D29" s="36" t="n">
        <v>7.85</v>
      </c>
      <c r="E29" s="36" t="n">
        <v>23.04</v>
      </c>
      <c r="F29" s="46" t="n">
        <v>1</v>
      </c>
      <c r="G29" s="50">
        <f>D29*E29/1000</f>
        <v/>
      </c>
      <c r="H29" s="50">
        <f>F29*G29</f>
        <v/>
      </c>
    </row>
    <row r="30" ht="19.5" customHeight="1" s="30">
      <c r="A30" s="52" t="inlineStr">
        <is>
          <t>SUM-M</t>
        </is>
      </c>
      <c r="B30" s="53" t="inlineStr">
        <is>
          <t>GESAMTMASSE MASCHINE (ohne Bohrschrauber, Akku &amp; Tropfband)</t>
        </is>
      </c>
      <c r="C30" s="53" t="inlineStr">
        <is>
          <t>Zielwert &lt;= 5,000 kg</t>
        </is>
      </c>
      <c r="D30" s="54" t="n"/>
      <c r="E30" s="54">
        <f>SUM(E5:E29)</f>
        <v/>
      </c>
      <c r="F30" s="55">
        <f>SUM(F5:F29)</f>
        <v/>
      </c>
      <c r="G30" s="56" t="n"/>
      <c r="H30" s="56">
        <f>SUM(H5:H29)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K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width="35" customWidth="1" style="29" min="2" max="2"/>
    <col width="12" customWidth="1" style="29" min="3" max="3"/>
    <col width="23" customWidth="1" style="29" min="4" max="4"/>
    <col width="42" customWidth="1" style="29" min="5" max="5"/>
    <col width="37" customWidth="1" style="29" min="6" max="6"/>
    <col width="42" customWidth="1" style="29" min="7" max="9"/>
    <col width="20" customWidth="1" style="29" min="10" max="10"/>
    <col width="18" customWidth="1" style="29" min="11" max="11"/>
  </cols>
  <sheetData>
    <row r="1" ht="25.5" customHeight="1" s="30">
      <c r="A1" s="31" t="inlineStr">
        <is>
          <t>Navaneeth Compact 40M v2.0 – BOM</t>
        </is>
      </c>
    </row>
    <row r="2" ht="18" customHeight="1" s="30">
      <c r="A2" s="32" t="inlineStr">
        <is>
          <t>Vollständige Stückliste (Revision 2.0) mit Halbzeugen, Fertigungsverfahren, Passungen, Koordinaten und Zeichnungsreferenz</t>
        </is>
      </c>
    </row>
    <row r="3"/>
    <row r="4" ht="24" customHeight="1" s="30">
      <c r="A4" s="33" t="inlineStr">
        <is>
          <t>Teile-ID</t>
        </is>
      </c>
      <c r="B4" s="33" t="inlineStr">
        <is>
          <t>Bezeichnung</t>
        </is>
      </c>
      <c r="C4" s="33" t="inlineStr">
        <is>
          <t>Menge</t>
        </is>
      </c>
      <c r="D4" s="33" t="inlineStr">
        <is>
          <t>Werkstoff / Norm</t>
        </is>
      </c>
      <c r="E4" s="33" t="inlineStr">
        <is>
          <t>Fertigungsverfahren</t>
        </is>
      </c>
      <c r="F4" s="33" t="inlineStr">
        <is>
          <t>Hauptabmessungen [mm]</t>
        </is>
      </c>
      <c r="G4" s="33" t="inlineStr">
        <is>
          <t>Bohrungen / Passungen</t>
        </is>
      </c>
      <c r="H4" s="33" t="inlineStr">
        <is>
          <t>XYZ-Einbaulage [mm]</t>
        </is>
      </c>
      <c r="I4" s="33" t="inlineStr">
        <is>
          <t>Verbundene Teile / Fastener</t>
        </is>
      </c>
      <c r="J4" s="33" t="inlineStr">
        <is>
          <t>Gesamtmasse [kg]</t>
        </is>
      </c>
      <c r="K4" s="33" t="inlineStr">
        <is>
          <t>Zeichnungs-Nr.</t>
        </is>
      </c>
    </row>
    <row r="5" ht="19.5" customHeight="1" s="30">
      <c r="A5" s="34" t="inlineStr">
        <is>
          <t>P-01</t>
        </is>
      </c>
      <c r="B5" s="35" t="inlineStr">
        <is>
          <t>Hinterer Flansch mit Nabe</t>
        </is>
      </c>
      <c r="C5" s="46" t="n">
        <v>1</v>
      </c>
      <c r="D5" s="35" t="inlineStr">
        <is>
          <t>EN AW-6061-T6</t>
        </is>
      </c>
      <c r="E5" s="35" t="inlineStr">
        <is>
          <t>Laserschneiden + Drehen + WIG-Schweißen</t>
        </is>
      </c>
      <c r="F5" s="35" t="inlineStr">
        <is>
          <t>Ø220x3 + Nabe Ø44/Ø17x18</t>
        </is>
      </c>
      <c r="G5" s="35" t="inlineStr">
        <is>
          <t>Nabe Ø17,02 H7, Querloch Ø6,0 H11, 6x Ø5,5, 3x Schlitz 16x58</t>
        </is>
      </c>
      <c r="H5" s="35" t="inlineStr">
        <is>
          <t>X=[-18..3], Y=0, Z=150</t>
        </is>
      </c>
      <c r="I5" s="35" t="inlineStr">
        <is>
          <t>P-02, P-07 / F-11..16, F-21</t>
        </is>
      </c>
      <c r="J5" s="50">
        <f>Massenbudget!H5</f>
        <v/>
      </c>
      <c r="K5" s="34" t="inlineStr">
        <is>
          <t>DRW-P01-v2</t>
        </is>
      </c>
    </row>
    <row r="6" ht="19.5" customHeight="1" s="30">
      <c r="A6" s="38" t="inlineStr">
        <is>
          <t>P-02</t>
        </is>
      </c>
      <c r="B6" s="39" t="inlineStr">
        <is>
          <t>Konische Trommel (3 Kanäle)</t>
        </is>
      </c>
      <c r="C6" s="47" t="n">
        <v>1</v>
      </c>
      <c r="D6" s="39" t="inlineStr">
        <is>
          <t>EN AW-6061-T6</t>
        </is>
      </c>
      <c r="E6" s="39" t="inlineStr">
        <is>
          <t>Drückwalzen / CNC-Drehen + Fräsen</t>
        </is>
      </c>
      <c r="F6" s="39" t="inlineStr">
        <is>
          <t>Ø104/Ø96,3 x 110, Wand 2,0</t>
        </is>
      </c>
      <c r="G6" s="39" t="inlineStr">
        <is>
          <t>6x Ø5,5 auf TK R=38, 3x Kanal B=16xT=6</t>
        </is>
      </c>
      <c r="H6" s="39" t="inlineStr">
        <is>
          <t>X=[3..113], Y=0, Z=150</t>
        </is>
      </c>
      <c r="I6" s="39" t="inlineStr">
        <is>
          <t>P-01, P-03, P-04 / F-11..16</t>
        </is>
      </c>
      <c r="J6" s="51">
        <f>Massenbudget!H6</f>
        <v/>
      </c>
      <c r="K6" s="38" t="inlineStr">
        <is>
          <t>DRW-P02-v2</t>
        </is>
      </c>
    </row>
    <row r="7" ht="19.5" customHeight="1" s="30">
      <c r="A7" s="34" t="inlineStr">
        <is>
          <t>P-03</t>
        </is>
      </c>
      <c r="B7" s="35" t="inlineStr">
        <is>
          <t>Klett-Umreifungsband</t>
        </is>
      </c>
      <c r="C7" s="46" t="n">
        <v>3</v>
      </c>
      <c r="D7" s="35" t="inlineStr">
        <is>
          <t>PP/PA Gewebe</t>
        </is>
      </c>
      <c r="E7" s="35" t="inlineStr">
        <is>
          <t>Kaufteil konfektioniert</t>
        </is>
      </c>
      <c r="F7" s="35" t="inlineStr">
        <is>
          <t>15 x 380 x 1,5</t>
        </is>
      </c>
      <c r="G7" s="35" t="inlineStr">
        <is>
          <t>Rückschnallöse Metall/PA</t>
        </is>
      </c>
      <c r="H7" s="35" t="inlineStr">
        <is>
          <t>X=[5..111], 0°/120°/240°</t>
        </is>
      </c>
      <c r="I7" s="35" t="inlineStr">
        <is>
          <t>P-02, REF-01 (Bandrolle)</t>
        </is>
      </c>
      <c r="J7" s="50">
        <f>Massenbudget!H7</f>
        <v/>
      </c>
      <c r="K7" s="34" t="inlineStr">
        <is>
          <t>DRW-P03-v2</t>
        </is>
      </c>
    </row>
    <row r="8" ht="19.5" customHeight="1" s="30">
      <c r="A8" s="38" t="inlineStr">
        <is>
          <t>P-04</t>
        </is>
      </c>
      <c r="B8" s="39" t="inlineStr">
        <is>
          <t>Vorderer Schutzflansch</t>
        </is>
      </c>
      <c r="C8" s="47" t="n">
        <v>1</v>
      </c>
      <c r="D8" s="39" t="inlineStr">
        <is>
          <t>EN AW-6061-T6</t>
        </is>
      </c>
      <c r="E8" s="39" t="inlineStr">
        <is>
          <t>Laserschneiden + CNC-Zentrierbund</t>
        </is>
      </c>
      <c r="F8" s="39" t="inlineStr">
        <is>
          <t>Ø220x3 + Bund Ø30x1</t>
        </is>
      </c>
      <c r="G8" s="39" t="inlineStr">
        <is>
          <t>Zentrierbohrung Ø17,20 H8, 6x Ø18, 3x Schlitz 16x58</t>
        </is>
      </c>
      <c r="H8" s="39" t="inlineStr">
        <is>
          <t>X=[113..117], Y=0, Z=150</t>
        </is>
      </c>
      <c r="I8" s="39" t="inlineStr">
        <is>
          <t>P-02, P-05, P-07</t>
        </is>
      </c>
      <c r="J8" s="51">
        <f>Massenbudget!H8</f>
        <v/>
      </c>
      <c r="K8" s="38" t="inlineStr">
        <is>
          <t>DRW-P04-v2</t>
        </is>
      </c>
    </row>
    <row r="9" ht="19.5" customHeight="1" s="30">
      <c r="A9" s="34" t="inlineStr">
        <is>
          <t>P-05</t>
        </is>
      </c>
      <c r="B9" s="35" t="inlineStr">
        <is>
          <t>Axiale Haltescheibe</t>
        </is>
      </c>
      <c r="C9" s="46" t="n">
        <v>1</v>
      </c>
      <c r="D9" s="35" t="inlineStr">
        <is>
          <t>C45E verzinkt</t>
        </is>
      </c>
      <c r="E9" s="35" t="inlineStr">
        <is>
          <t>Drehen / Stanzen DIN 988</t>
        </is>
      </c>
      <c r="F9" s="35" t="inlineStr">
        <is>
          <t>Ø34 / Ø17,2 x 2,0</t>
        </is>
      </c>
      <c r="G9" s="35" t="inlineStr">
        <is>
          <t>Bohrung Ø17,20 (+0,20)</t>
        </is>
      </c>
      <c r="H9" s="35" t="inlineStr">
        <is>
          <t>X=[117..119], Y=0, Z=150</t>
        </is>
      </c>
      <c r="I9" s="35" t="inlineStr">
        <is>
          <t>P-04, P-06, P-07</t>
        </is>
      </c>
      <c r="J9" s="50">
        <f>Massenbudget!H9</f>
        <v/>
      </c>
      <c r="K9" s="34" t="inlineStr">
        <is>
          <t>DRW-P05-v2</t>
        </is>
      </c>
    </row>
    <row r="10" ht="19.5" customHeight="1" s="30">
      <c r="A10" s="38" t="inlineStr">
        <is>
          <t>P-06</t>
        </is>
      </c>
      <c r="B10" s="39" t="inlineStr">
        <is>
          <t>Sicherungspin (Klappstecker)</t>
        </is>
      </c>
      <c r="C10" s="47" t="n">
        <v>1</v>
      </c>
      <c r="D10" s="39" t="inlineStr">
        <is>
          <t>Stahl verzinkt</t>
        </is>
      </c>
      <c r="E10" s="39" t="inlineStr">
        <is>
          <t>Normkaufteil DIN 11023</t>
        </is>
      </c>
      <c r="F10" s="39" t="inlineStr">
        <is>
          <t>Schaft Ø6,0 x 30, Ring Ø17</t>
        </is>
      </c>
      <c r="G10" s="39" t="inlineStr">
        <is>
          <t>Paarung mit Bohrung Ø6,2 in P-07</t>
        </is>
      </c>
      <c r="H10" s="39" t="inlineStr">
        <is>
          <t>X=122, Y=0, Z=[135..175]</t>
        </is>
      </c>
      <c r="I10" s="39" t="inlineStr">
        <is>
          <t>P-05, P-07</t>
        </is>
      </c>
      <c r="J10" s="51">
        <f>Massenbudget!H10</f>
        <v/>
      </c>
      <c r="K10" s="38" t="inlineStr">
        <is>
          <t>DRW-P06-v2</t>
        </is>
      </c>
    </row>
    <row r="11" ht="19.5" customHeight="1" s="30">
      <c r="A11" s="34" t="inlineStr">
        <is>
          <t>P-07</t>
        </is>
      </c>
      <c r="B11" s="35" t="inlineStr">
        <is>
          <t>Hauptspindel mit 3/8"-Sechskant</t>
        </is>
      </c>
      <c r="C11" s="46" t="n">
        <v>1</v>
      </c>
      <c r="D11" s="35" t="inlineStr">
        <is>
          <t>C45E +QT</t>
        </is>
      </c>
      <c r="E11" s="35" t="inlineStr">
        <is>
          <t>CNC-Drehen + Fräsen + Schleifen</t>
        </is>
      </c>
      <c r="F11" s="35" t="inlineStr">
        <is>
          <t>Ø17,00 k5 x 212 + SW9,5 x 36</t>
        </is>
      </c>
      <c r="G11" s="35" t="inlineStr">
        <is>
          <t>Lagersitz Ø17,00 k5, Schulter Ø20, Querloch Ø6,0 (X=-9), Pinloch Ø6,2 (X=122)</t>
        </is>
      </c>
      <c r="H11" s="35" t="inlineStr">
        <is>
          <t>X=[-120..128], Y=0, Z=150</t>
        </is>
      </c>
      <c r="I11" s="35" t="inlineStr">
        <is>
          <t>P-01, P-04..06, P-08, P-10 / F-21</t>
        </is>
      </c>
      <c r="J11" s="50">
        <f>Massenbudget!H11</f>
        <v/>
      </c>
      <c r="K11" s="34" t="inlineStr">
        <is>
          <t>DRW-P07-v2</t>
        </is>
      </c>
    </row>
    <row r="12" ht="19.5" customHeight="1" s="30">
      <c r="A12" s="38" t="inlineStr">
        <is>
          <t>P-08</t>
        </is>
      </c>
      <c r="B12" s="39" t="inlineStr">
        <is>
          <t>Rillenkugellager 6003-2RS</t>
        </is>
      </c>
      <c r="C12" s="47" t="n">
        <v>2</v>
      </c>
      <c r="D12" s="39" t="inlineStr">
        <is>
          <t>100Cr6 (SKF)</t>
        </is>
      </c>
      <c r="E12" s="39" t="inlineStr">
        <is>
          <t>Normkaufteil DIN 625-1</t>
        </is>
      </c>
      <c r="F12" s="39" t="inlineStr">
        <is>
          <t>d=17,00 x D=35,00 x B=10,00</t>
        </is>
      </c>
      <c r="G12" s="39" t="inlineStr">
        <is>
          <t>Innenring auf Ø17 k5, Außenring in Ø35 H7</t>
        </is>
      </c>
      <c r="H12" s="39" t="inlineStr">
        <is>
          <t>X=[-84..-74] &amp; [-34..-24], Z=150</t>
        </is>
      </c>
      <c r="I12" s="39" t="inlineStr">
        <is>
          <t>P-07, P-09, P-10</t>
        </is>
      </c>
      <c r="J12" s="51">
        <f>Massenbudget!H12</f>
        <v/>
      </c>
      <c r="K12" s="38" t="inlineStr">
        <is>
          <t>DRW-P08-v2</t>
        </is>
      </c>
    </row>
    <row r="13" ht="19.5" customHeight="1" s="30">
      <c r="A13" s="34" t="inlineStr">
        <is>
          <t>P-09</t>
        </is>
      </c>
      <c r="B13" s="35" t="inlineStr">
        <is>
          <t>Abgesetztes Lagergehäuse</t>
        </is>
      </c>
      <c r="C13" s="46" t="n">
        <v>1</v>
      </c>
      <c r="D13" s="35" t="inlineStr">
        <is>
          <t>EN AW-6061-T6</t>
        </is>
      </c>
      <c r="E13" s="35" t="inlineStr">
        <is>
          <t>CNC-Drehen + Bohren</t>
        </is>
      </c>
      <c r="F13" s="35" t="inlineStr">
        <is>
          <t>Rohr Ø45x56, Flansch Ø68x4</t>
        </is>
      </c>
      <c r="G13" s="35" t="inlineStr">
        <is>
          <t>2x Lagersitz Ø35,00 H7 (10 tief), Innenschulter Ø31, 4x Ø5,5 auf TK R=28</t>
        </is>
      </c>
      <c r="H13" s="35" t="inlineStr">
        <is>
          <t>X=[-84..-24], Y=0, Z=150</t>
        </is>
      </c>
      <c r="I13" s="35" t="inlineStr">
        <is>
          <t>P-08, P-11 / F-01..04</t>
        </is>
      </c>
      <c r="J13" s="50">
        <f>Massenbudget!H13</f>
        <v/>
      </c>
      <c r="K13" s="34" t="inlineStr">
        <is>
          <t>DRW-P09-v2</t>
        </is>
      </c>
    </row>
    <row r="14" ht="19.5" customHeight="1" s="30">
      <c r="A14" s="38" t="inlineStr">
        <is>
          <t>P-10</t>
        </is>
      </c>
      <c r="B14" s="39" t="inlineStr">
        <is>
          <t>Lager-Distanzhülse Innenring</t>
        </is>
      </c>
      <c r="C14" s="47" t="n">
        <v>1</v>
      </c>
      <c r="D14" s="39" t="inlineStr">
        <is>
          <t>EN AW-6061-T6</t>
        </is>
      </c>
      <c r="E14" s="39" t="inlineStr">
        <is>
          <t>Drehen aus Rohr</t>
        </is>
      </c>
      <c r="F14" s="39" t="inlineStr">
        <is>
          <t>Ø22,0 / Ø17,1 x 40,0</t>
        </is>
      </c>
      <c r="G14" s="39" t="inlineStr">
        <is>
          <t>Bohrung Ø17,10 (+0,10), Planlauf 0,02</t>
        </is>
      </c>
      <c r="H14" s="39" t="inlineStr">
        <is>
          <t>X=[-74..-34], Y=0, Z=150</t>
        </is>
      </c>
      <c r="I14" s="39" t="inlineStr">
        <is>
          <t>P-07, P-08A, P-08B</t>
        </is>
      </c>
      <c r="J14" s="51">
        <f>Massenbudget!H14</f>
        <v/>
      </c>
      <c r="K14" s="38" t="inlineStr">
        <is>
          <t>DRW-P10-v2</t>
        </is>
      </c>
    </row>
    <row r="15" ht="19.5" customHeight="1" s="30">
      <c r="A15" s="34" t="inlineStr">
        <is>
          <t>P-11</t>
        </is>
      </c>
      <c r="B15" s="35" t="inlineStr">
        <is>
          <t>Haupt-Chassisplatte</t>
        </is>
      </c>
      <c r="C15" s="46" t="n">
        <v>1</v>
      </c>
      <c r="D15" s="35" t="inlineStr">
        <is>
          <t>EN AW-6061-T6</t>
        </is>
      </c>
      <c r="E15" s="35" t="inlineStr">
        <is>
          <t>Laserschneiden + Entgraten</t>
        </is>
      </c>
      <c r="F15" s="35" t="inlineStr">
        <is>
          <t>150 x 170 x 4,0</t>
        </is>
      </c>
      <c r="G15" s="35" t="inlineStr">
        <is>
          <t>Zentral Ø36, 4x Ø5,5 (TK28), 4x Ø5,5 (Beine), 2x Ø5,5 (Arm), 2x Fenster 30x70</t>
        </is>
      </c>
      <c r="H15" s="35" t="inlineStr">
        <is>
          <t>X=[-24..-20], Y=[-75..75], Z=[65..235]</t>
        </is>
      </c>
      <c r="I15" s="35" t="inlineStr">
        <is>
          <t>P-09, P-12, P-17 / F-01..10</t>
        </is>
      </c>
      <c r="J15" s="50">
        <f>Massenbudget!H15</f>
        <v/>
      </c>
      <c r="K15" s="34" t="inlineStr">
        <is>
          <t>DRW-P11-v2</t>
        </is>
      </c>
    </row>
    <row r="16" ht="19.5" customHeight="1" s="30">
      <c r="A16" s="38" t="inlineStr">
        <is>
          <t>P-12</t>
        </is>
      </c>
      <c r="B16" s="39" t="inlineStr">
        <is>
          <t>Verstärkter Führungsarm</t>
        </is>
      </c>
      <c r="C16" s="47" t="n">
        <v>1</v>
      </c>
      <c r="D16" s="39" t="inlineStr">
        <is>
          <t>EN AW-6061-T6</t>
        </is>
      </c>
      <c r="E16" s="39" t="inlineStr">
        <is>
          <t>CNC-Fräsen / Wasserstrahl</t>
        </is>
      </c>
      <c r="F16" s="39" t="inlineStr">
        <is>
          <t>28 x 95 x 8,0</t>
        </is>
      </c>
      <c r="G16" s="39" t="inlineStr">
        <is>
          <t>2x Ø5,5 (Z=212, 228), 1x Ø10,2 (Z=285)</t>
        </is>
      </c>
      <c r="H16" s="39" t="inlineStr">
        <is>
          <t>X=[-32..-24], Y=[-14..14], Z=[205..300]</t>
        </is>
      </c>
      <c r="I16" s="39" t="inlineStr">
        <is>
          <t>P-11, P-13 / F-09..10, F-22</t>
        </is>
      </c>
      <c r="J16" s="51">
        <f>Massenbudget!H16</f>
        <v/>
      </c>
      <c r="K16" s="38" t="inlineStr">
        <is>
          <t>DRW-P12-v2</t>
        </is>
      </c>
    </row>
    <row r="17" ht="19.5" customHeight="1" s="30">
      <c r="A17" s="34" t="inlineStr">
        <is>
          <t>P-13</t>
        </is>
      </c>
      <c r="B17" s="35" t="inlineStr">
        <is>
          <t>Kragarm-Führungsachse</t>
        </is>
      </c>
      <c r="C17" s="46" t="n">
        <v>1</v>
      </c>
      <c r="D17" s="35" t="inlineStr">
        <is>
          <t>C45E +QT</t>
        </is>
      </c>
      <c r="E17" s="35" t="inlineStr">
        <is>
          <t>CNC-Drehen + Tieflochbohren</t>
        </is>
      </c>
      <c r="F17" s="35" t="inlineStr">
        <is>
          <t>M10x12 + Ø16x10 + Ø15,00 k5 x 142</t>
        </is>
      </c>
      <c r="G17" s="35" t="inlineStr">
        <is>
          <t>Lagersitz Ø15,00 k5, Hohlbohrung Ø8x120, Gewinde M10x1,5</t>
        </is>
      </c>
      <c r="H17" s="35" t="inlineStr">
        <is>
          <t>X=[-36..128], Y=0, Z=285</t>
        </is>
      </c>
      <c r="I17" s="35" t="inlineStr">
        <is>
          <t>P-12, P-14 / F-22</t>
        </is>
      </c>
      <c r="J17" s="50">
        <f>Massenbudget!H17</f>
        <v/>
      </c>
      <c r="K17" s="34" t="inlineStr">
        <is>
          <t>DRW-P13-v2</t>
        </is>
      </c>
    </row>
    <row r="18" ht="19.5" customHeight="1" s="30">
      <c r="A18" s="38" t="inlineStr">
        <is>
          <t>P-14</t>
        </is>
      </c>
      <c r="B18" s="39" t="inlineStr">
        <is>
          <t>Rillenkugellager 6002-2RS</t>
        </is>
      </c>
      <c r="C18" s="47" t="n">
        <v>2</v>
      </c>
      <c r="D18" s="39" t="inlineStr">
        <is>
          <t>100Cr6 (SKF)</t>
        </is>
      </c>
      <c r="E18" s="39" t="inlineStr">
        <is>
          <t>Normkaufteil DIN 625-1</t>
        </is>
      </c>
      <c r="F18" s="39" t="inlineStr">
        <is>
          <t>d=15,00 x D=32,00 x B=9,00</t>
        </is>
      </c>
      <c r="G18" s="39" t="inlineStr">
        <is>
          <t>Innenring auf Ø15 k5, Außenring in Ø32 H7</t>
        </is>
      </c>
      <c r="H18" s="39" t="inlineStr">
        <is>
          <t>X=[-14..-5] &amp; [109..118], Z=285</t>
        </is>
      </c>
      <c r="I18" s="39" t="inlineStr">
        <is>
          <t>P-13, P-15</t>
        </is>
      </c>
      <c r="J18" s="51">
        <f>Massenbudget!H18</f>
        <v/>
      </c>
      <c r="K18" s="38" t="inlineStr">
        <is>
          <t>DRW-P14-v2</t>
        </is>
      </c>
    </row>
    <row r="19" ht="19.5" customHeight="1" s="30">
      <c r="A19" s="34" t="inlineStr">
        <is>
          <t>P-15</t>
        </is>
      </c>
      <c r="B19" s="35" t="inlineStr">
        <is>
          <t>Band-Führungsrolle</t>
        </is>
      </c>
      <c r="C19" s="46" t="n">
        <v>1</v>
      </c>
      <c r="D19" s="35" t="inlineStr">
        <is>
          <t>POM-C</t>
        </is>
      </c>
      <c r="E19" s="35" t="inlineStr">
        <is>
          <t>CNC-Drehen</t>
        </is>
      </c>
      <c r="F19" s="35" t="inlineStr">
        <is>
          <t>Ø38,0 / Ø26,0 x 132,0</t>
        </is>
      </c>
      <c r="G19" s="35" t="inlineStr">
        <is>
          <t>2x Lagersitz Ø32,00 H7 x 9,0 tief</t>
        </is>
      </c>
      <c r="H19" s="35" t="inlineStr">
        <is>
          <t>X=[-14..118], Y=0, Z=285</t>
        </is>
      </c>
      <c r="I19" s="35" t="inlineStr">
        <is>
          <t>P-14, P-16</t>
        </is>
      </c>
      <c r="J19" s="50">
        <f>Massenbudget!H19</f>
        <v/>
      </c>
      <c r="K19" s="34" t="inlineStr">
        <is>
          <t>DRW-P15-v2</t>
        </is>
      </c>
    </row>
    <row r="20" ht="19.5" customHeight="1" s="30">
      <c r="A20" s="38" t="inlineStr">
        <is>
          <t>P-16</t>
        </is>
      </c>
      <c r="B20" s="39" t="inlineStr">
        <is>
          <t>4-Spur-Bandführungsschlitten</t>
        </is>
      </c>
      <c r="C20" s="47" t="n">
        <v>1</v>
      </c>
      <c r="D20" s="39" t="inlineStr">
        <is>
          <t>POM-C</t>
        </is>
      </c>
      <c r="E20" s="39" t="inlineStr">
        <is>
          <t>CNC-Fräsen / Drehen</t>
        </is>
      </c>
      <c r="F20" s="39" t="inlineStr">
        <is>
          <t>5x Führungsbund Ø47/Ø38 x 2,0</t>
        </is>
      </c>
      <c r="G20" s="39" t="inlineStr">
        <is>
          <t>Spurzentren X=19, 45, 71, 97 mm (Spurbreite 26 mm)</t>
        </is>
      </c>
      <c r="H20" s="39" t="inlineStr">
        <is>
          <t>X=[4,5..110,5], Y=0, Z=285</t>
        </is>
      </c>
      <c r="I20" s="39" t="inlineStr">
        <is>
          <t>P-15, REF-01</t>
        </is>
      </c>
      <c r="J20" s="51">
        <f>Massenbudget!H20</f>
        <v/>
      </c>
      <c r="K20" s="38" t="inlineStr">
        <is>
          <t>DRW-P16-v2</t>
        </is>
      </c>
    </row>
    <row r="21" ht="19.5" customHeight="1" s="30">
      <c r="A21" s="34" t="inlineStr">
        <is>
          <t>P-17</t>
        </is>
      </c>
      <c r="B21" s="35" t="inlineStr">
        <is>
          <t>Beinleisten (Links &amp; Rechts)</t>
        </is>
      </c>
      <c r="C21" s="46" t="n">
        <v>2</v>
      </c>
      <c r="D21" s="35" t="inlineStr">
        <is>
          <t>EN AW-6061-T6</t>
        </is>
      </c>
      <c r="E21" s="35" t="inlineStr">
        <is>
          <t>Laserschneiden + Schweißen an P-18</t>
        </is>
      </c>
      <c r="F21" s="35" t="inlineStr">
        <is>
          <t>20 x 82 x 4,0</t>
        </is>
      </c>
      <c r="G21" s="35" t="inlineStr">
        <is>
          <t>Je 2x Ø5,5 bei Z=75 und Z=100 mm</t>
        </is>
      </c>
      <c r="H21" s="35" t="inlineStr">
        <is>
          <t>X=[-28..-24], Y=±[45..65], Z=[28..110]</t>
        </is>
      </c>
      <c r="I21" s="35" t="inlineStr">
        <is>
          <t>P-11, P-18 / F-05..08</t>
        </is>
      </c>
      <c r="J21" s="50">
        <f>Massenbudget!H21</f>
        <v/>
      </c>
      <c r="K21" s="34" t="inlineStr">
        <is>
          <t>DRW-P17-v2</t>
        </is>
      </c>
    </row>
    <row r="22" ht="19.5" customHeight="1" s="30">
      <c r="A22" s="38" t="inlineStr">
        <is>
          <t>P-18</t>
        </is>
      </c>
      <c r="B22" s="39" t="inlineStr">
        <is>
          <t>Querträger Hohlprofil</t>
        </is>
      </c>
      <c r="C22" s="47" t="n">
        <v>1</v>
      </c>
      <c r="D22" s="39" t="inlineStr">
        <is>
          <t>EN AW-6061-T6</t>
        </is>
      </c>
      <c r="E22" s="39" t="inlineStr">
        <is>
          <t>Sägen + Bohren + Senken</t>
        </is>
      </c>
      <c r="F22" s="39" t="inlineStr">
        <is>
          <t>20 x 20 x 2,5 x 240</t>
        </is>
      </c>
      <c r="G22" s="39" t="inlineStr">
        <is>
          <t>2x Ø6,5 (Y=±95), 2x Ø6,5 (Y=±30), Flachsenkung unten Z=8..12</t>
        </is>
      </c>
      <c r="H22" s="39" t="inlineStr">
        <is>
          <t>X=[-34..-14], Y=[-120..120], Z=[8..28]</t>
        </is>
      </c>
      <c r="I22" s="39" t="inlineStr">
        <is>
          <t>P-17, P-19, P-20, P-23B / F-17..20</t>
        </is>
      </c>
      <c r="J22" s="51">
        <f>Massenbudget!H22</f>
        <v/>
      </c>
      <c r="K22" s="38" t="inlineStr">
        <is>
          <t>DRW-P18-v2</t>
        </is>
      </c>
    </row>
    <row r="23" ht="19.5" customHeight="1" s="30">
      <c r="A23" s="34" t="inlineStr">
        <is>
          <t>P-19</t>
        </is>
      </c>
      <c r="B23" s="35" t="inlineStr">
        <is>
          <t>Bodenschienen Hohlprofil (L&amp;R)</t>
        </is>
      </c>
      <c r="C23" s="46" t="n">
        <v>2</v>
      </c>
      <c r="D23" s="35" t="inlineStr">
        <is>
          <t>EN AW-6061-T6</t>
        </is>
      </c>
      <c r="E23" s="35" t="inlineStr">
        <is>
          <t>Sägen + Bohren</t>
        </is>
      </c>
      <c r="F23" s="35" t="inlineStr">
        <is>
          <t>20 x 20 x 2,5 x 240</t>
        </is>
      </c>
      <c r="G23" s="35" t="inlineStr">
        <is>
          <t>Je 1x Ø6,5 (X=-24), 1x Ø5,5 (X=196), 2x Ø5,5 (Zugentlastung)</t>
        </is>
      </c>
      <c r="H23" s="35" t="inlineStr">
        <is>
          <t>X=[-34..206], Y=±[85..105], Z=[28..48]</t>
        </is>
      </c>
      <c r="I23" s="35" t="inlineStr">
        <is>
          <t>P-18, P-22, P-23A / F-17..18, F-27..30</t>
        </is>
      </c>
      <c r="J23" s="50">
        <f>Massenbudget!H23</f>
        <v/>
      </c>
      <c r="K23" s="34" t="inlineStr">
        <is>
          <t>DRW-P19-v2</t>
        </is>
      </c>
    </row>
    <row r="24" ht="19.5" customHeight="1" s="30">
      <c r="A24" s="38" t="inlineStr">
        <is>
          <t>P-20</t>
        </is>
      </c>
      <c r="B24" s="39" t="inlineStr">
        <is>
          <t>Fußplatte mit Antirutsch-Rippen</t>
        </is>
      </c>
      <c r="C24" s="47" t="n">
        <v>1</v>
      </c>
      <c r="D24" s="39" t="inlineStr">
        <is>
          <t>EN AW-6061-T6</t>
        </is>
      </c>
      <c r="E24" s="39" t="inlineStr">
        <is>
          <t>Fräsen / Strangpressprofil</t>
        </is>
      </c>
      <c r="F24" s="39" t="inlineStr">
        <is>
          <t>140 x 100 x 3,0 + 4 Rippen 4x3</t>
        </is>
      </c>
      <c r="G24" s="39" t="inlineStr">
        <is>
          <t>2x Ø6,5 (X=-24, Y=±30), 4x Ø5,5 (Drehmomentstütze), 2x Ø5,5 (Pads)</t>
        </is>
      </c>
      <c r="H24" s="39" t="inlineStr">
        <is>
          <t>X=[-154..-14], Y=[-50..50], Z=[12..18]</t>
        </is>
      </c>
      <c r="I24" s="39" t="inlineStr">
        <is>
          <t>P-18, P-21, P-23B / F-19..20, F-23..26</t>
        </is>
      </c>
      <c r="J24" s="51">
        <f>Massenbudget!H24</f>
        <v/>
      </c>
      <c r="K24" s="38" t="inlineStr">
        <is>
          <t>DRW-P20-v2</t>
        </is>
      </c>
    </row>
    <row r="25" ht="19.5" customHeight="1" s="30">
      <c r="A25" s="34" t="inlineStr">
        <is>
          <t>P-21</t>
        </is>
      </c>
      <c r="B25" s="35" t="inlineStr">
        <is>
          <t>Bohrschrauber-Drehmomentstütze</t>
        </is>
      </c>
      <c r="C25" s="46" t="n">
        <v>1</v>
      </c>
      <c r="D25" s="35" t="inlineStr">
        <is>
          <t>EN AW-6061-T6 + NBR</t>
        </is>
      </c>
      <c r="E25" s="35" t="inlineStr">
        <is>
          <t>Abkanten + Fräsen + NBR-Auskleidung</t>
        </is>
      </c>
      <c r="F25" s="35" t="inlineStr">
        <is>
          <t>60 x 60 x 93, Griffaufnahme 45x36</t>
        </is>
      </c>
      <c r="G25" s="35" t="inlineStr">
        <is>
          <t>4x Ø5,5 Fußflansch, 2x M5 Klemmschraube für Griff</t>
        </is>
      </c>
      <c r="H25" s="35" t="inlineStr">
        <is>
          <t>X=[-235..-175], Y=[-30..30], Z=[15..108]</t>
        </is>
      </c>
      <c r="I25" s="35" t="inlineStr">
        <is>
          <t>P-20, REF-02 / F-23..26</t>
        </is>
      </c>
      <c r="J25" s="50">
        <f>Massenbudget!H25</f>
        <v/>
      </c>
      <c r="K25" s="34" t="inlineStr">
        <is>
          <t>DRW-P21-v2</t>
        </is>
      </c>
    </row>
    <row r="26" ht="19.5" customHeight="1" s="30">
      <c r="A26" s="38" t="inlineStr">
        <is>
          <t>P-22</t>
        </is>
      </c>
      <c r="B26" s="39" t="inlineStr">
        <is>
          <t>Ventil-Zugentlastungsklemme</t>
        </is>
      </c>
      <c r="C26" s="47" t="n">
        <v>1</v>
      </c>
      <c r="D26" s="39" t="inlineStr">
        <is>
          <t>EN AW-6061-T6 + POM</t>
        </is>
      </c>
      <c r="E26" s="39" t="inlineStr">
        <is>
          <t>CNC-Fräsen</t>
        </is>
      </c>
      <c r="F26" s="39" t="inlineStr">
        <is>
          <t>32 x 30 x 36, Bandkanal 26x4</t>
        </is>
      </c>
      <c r="G26" s="39" t="inlineStr">
        <is>
          <t>2x Ø5,5 Montage an rechter Bodenschiene + Schnellspanner</t>
        </is>
      </c>
      <c r="H26" s="39" t="inlineStr">
        <is>
          <t>X=[42..74], Y=[-135..-105], Z=[28..64]</t>
        </is>
      </c>
      <c r="I26" s="39" t="inlineStr">
        <is>
          <t>P-19R, REF-03 / F-27..28</t>
        </is>
      </c>
      <c r="J26" s="51">
        <f>Massenbudget!H26</f>
        <v/>
      </c>
      <c r="K26" s="38" t="inlineStr">
        <is>
          <t>DRW-P22-v2</t>
        </is>
      </c>
    </row>
    <row r="27" ht="19.5" customHeight="1" s="30">
      <c r="A27" s="34" t="inlineStr">
        <is>
          <t>P-23A</t>
        </is>
      </c>
      <c r="B27" s="35" t="inlineStr">
        <is>
          <t>Vordere Elastomerdämpfer-Füße</t>
        </is>
      </c>
      <c r="C27" s="46" t="n">
        <v>2</v>
      </c>
      <c r="D27" s="35" t="inlineStr">
        <is>
          <t>NBR 70 Shore A</t>
        </is>
      </c>
      <c r="E27" s="35" t="inlineStr">
        <is>
          <t>Kaufteil / Formteil</t>
        </is>
      </c>
      <c r="F27" s="35" t="inlineStr">
        <is>
          <t>Ø24 / Ø6,0 x 28,0</t>
        </is>
      </c>
      <c r="G27" s="35" t="inlineStr">
        <is>
          <t>Durchgangsbohrung Ø5,5 mit Senkung</t>
        </is>
      </c>
      <c r="H27" s="35" t="inlineStr">
        <is>
          <t>X=196, Y=±95, Z=[0..28]</t>
        </is>
      </c>
      <c r="I27" s="35" t="inlineStr">
        <is>
          <t>P-19 / F-29..30</t>
        </is>
      </c>
      <c r="J27" s="50">
        <f>Massenbudget!H27</f>
        <v/>
      </c>
      <c r="K27" s="34" t="inlineStr">
        <is>
          <t>DRW-P23-v2</t>
        </is>
      </c>
    </row>
    <row r="28" ht="19.5" customHeight="1" s="30">
      <c r="A28" s="38" t="inlineStr">
        <is>
          <t>P-23B</t>
        </is>
      </c>
      <c r="B28" s="39" t="inlineStr">
        <is>
          <t>Hintere Elastomerdämpfer-Pads</t>
        </is>
      </c>
      <c r="C28" s="47" t="n">
        <v>4</v>
      </c>
      <c r="D28" s="39" t="inlineStr">
        <is>
          <t>NBR 70 Shore A</t>
        </is>
      </c>
      <c r="E28" s="39" t="inlineStr">
        <is>
          <t>Kaufteil / Formteil</t>
        </is>
      </c>
      <c r="F28" s="39" t="inlineStr">
        <is>
          <t>Ø24 / Ø5,5 x 12,0</t>
        </is>
      </c>
      <c r="G28" s="39" t="inlineStr">
        <is>
          <t>Durchgangsbohrung Ø5,5 mit Senkung</t>
        </is>
      </c>
      <c r="H28" s="39" t="inlineStr">
        <is>
          <t>X=-24 (Y=±110) &amp; X=-140 (Y=±40), Z=[0..12]</t>
        </is>
      </c>
      <c r="I28" s="39" t="inlineStr">
        <is>
          <t>P-18, P-20 / F-31..34</t>
        </is>
      </c>
      <c r="J28" s="51">
        <f>Massenbudget!H28</f>
        <v/>
      </c>
      <c r="K28" s="38" t="inlineStr">
        <is>
          <t>DRW-P23-v2</t>
        </is>
      </c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J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21" customWidth="1" style="29" min="2" max="2"/>
    <col width="37" customWidth="1" style="29" min="3" max="3"/>
    <col width="42" customWidth="1" style="29" min="4" max="4"/>
    <col width="25" customWidth="1" style="29" min="5" max="5"/>
    <col width="42" customWidth="1" style="29" min="6" max="9"/>
    <col width="31" customWidth="1" style="29" min="10" max="10"/>
  </cols>
  <sheetData>
    <row r="1" ht="25.5" customHeight="1" s="30">
      <c r="A1" s="31" t="inlineStr">
        <is>
          <t>Navaneeth Compact 40M v2.0 – Fastener Register</t>
        </is>
      </c>
    </row>
    <row r="2" ht="18" customHeight="1" s="30">
      <c r="A2" s="32" t="inlineStr">
        <is>
          <t>Vollständiges Befestigerregister mit Instanz-ID, Norm, Gewinde, XYZ-Position, Einbaurichtung und Montagezugang</t>
        </is>
      </c>
    </row>
    <row r="3"/>
    <row r="4" ht="24" customHeight="1" s="30">
      <c r="A4" s="33" t="inlineStr">
        <is>
          <t>Fastener-ID</t>
        </is>
      </c>
      <c r="B4" s="33" t="inlineStr">
        <is>
          <t>Norm &amp; Gewinde</t>
        </is>
      </c>
      <c r="C4" s="33" t="inlineStr">
        <is>
          <t>Abmessung &amp; Kopfform</t>
        </is>
      </c>
      <c r="D4" s="33" t="inlineStr">
        <is>
          <t>Scheiben &amp; Mutter</t>
        </is>
      </c>
      <c r="E4" s="33" t="inlineStr">
        <is>
          <t>Werkstoff / Klasse</t>
        </is>
      </c>
      <c r="F4" s="33" t="inlineStr">
        <is>
          <t>XYZ-Mittelpunkt [mm]</t>
        </is>
      </c>
      <c r="G4" s="33" t="inlineStr">
        <is>
          <t>Achs- &amp; Einbaurichtung</t>
        </is>
      </c>
      <c r="H4" s="33" t="inlineStr">
        <is>
          <t>Verbundene Bauteile</t>
        </is>
      </c>
      <c r="I4" s="33" t="inlineStr">
        <is>
          <t>Montagezugang / Werkzeug</t>
        </is>
      </c>
      <c r="J4" s="33" t="inlineStr">
        <is>
          <t>Richt-Anziehdrehmoment [Nm]</t>
        </is>
      </c>
    </row>
    <row r="5" ht="19.5" customHeight="1" s="30">
      <c r="A5" s="34" t="inlineStr">
        <is>
          <t>F-01</t>
        </is>
      </c>
      <c r="B5" s="35" t="inlineStr">
        <is>
          <t>ISO 4017 M5x16</t>
        </is>
      </c>
      <c r="C5" s="35" t="inlineStr">
        <is>
          <t>M5 x 16, Sechskant SW8</t>
        </is>
      </c>
      <c r="D5" s="35" t="inlineStr">
        <is>
          <t>2x ISO 7089 A5,3 + 1x ISO 10511 M5</t>
        </is>
      </c>
      <c r="E5" s="35" t="inlineStr">
        <is>
          <t>Stahl FK 8.8 verzinkt</t>
        </is>
      </c>
      <c r="F5" s="35" t="inlineStr">
        <is>
          <t>X=-28..-16, Y=+19,8, Z=169,8 (45°)</t>
        </is>
      </c>
      <c r="G5" s="35" t="inlineStr">
        <is>
          <t>+X (Kopf bei X=-28, Mutter X=-20)</t>
        </is>
      </c>
      <c r="H5" s="35" t="inlineStr">
        <is>
          <t>P-09 (Lagergehäuse) + P-11 (Chassis)</t>
        </is>
      </c>
      <c r="I5" s="35" t="inlineStr">
        <is>
          <t>SW8 Steckschlüssel beidseitig frei</t>
        </is>
      </c>
      <c r="J5" s="49" t="n">
        <v>5.5</v>
      </c>
    </row>
    <row r="6" ht="19.5" customHeight="1" s="30">
      <c r="A6" s="38" t="inlineStr">
        <is>
          <t>F-02</t>
        </is>
      </c>
      <c r="B6" s="39" t="inlineStr">
        <is>
          <t>ISO 4017 M5x16</t>
        </is>
      </c>
      <c r="C6" s="39" t="inlineStr">
        <is>
          <t>M5 x 16, Sechskant SW8</t>
        </is>
      </c>
      <c r="D6" s="39" t="inlineStr">
        <is>
          <t>2x ISO 7089 A5,3 + 1x ISO 10511 M5</t>
        </is>
      </c>
      <c r="E6" s="39" t="inlineStr">
        <is>
          <t>Stahl FK 8.8 verzinkt</t>
        </is>
      </c>
      <c r="F6" s="39" t="inlineStr">
        <is>
          <t>X=-28..-16, Y=-19,8, Z=169,8 (135°)</t>
        </is>
      </c>
      <c r="G6" s="39" t="inlineStr">
        <is>
          <t>+X (Kopf bei X=-28, Mutter X=-20)</t>
        </is>
      </c>
      <c r="H6" s="39" t="inlineStr">
        <is>
          <t>P-09 (Lagergehäuse) + P-11 (Chassis)</t>
        </is>
      </c>
      <c r="I6" s="39" t="inlineStr">
        <is>
          <t>SW8 Steckschlüssel beidseitig frei</t>
        </is>
      </c>
      <c r="J6" s="57" t="n">
        <v>5.5</v>
      </c>
    </row>
    <row r="7" ht="19.5" customHeight="1" s="30">
      <c r="A7" s="34" t="inlineStr">
        <is>
          <t>F-03</t>
        </is>
      </c>
      <c r="B7" s="35" t="inlineStr">
        <is>
          <t>ISO 4017 M5x16</t>
        </is>
      </c>
      <c r="C7" s="35" t="inlineStr">
        <is>
          <t>M5 x 16, Sechskant SW8</t>
        </is>
      </c>
      <c r="D7" s="35" t="inlineStr">
        <is>
          <t>2x ISO 7089 A5,3 + 1x ISO 10511 M5</t>
        </is>
      </c>
      <c r="E7" s="35" t="inlineStr">
        <is>
          <t>Stahl FK 8.8 verzinkt</t>
        </is>
      </c>
      <c r="F7" s="35" t="inlineStr">
        <is>
          <t>X=-28..-16, Y=-19,8, Z=130,2 (225°)</t>
        </is>
      </c>
      <c r="G7" s="35" t="inlineStr">
        <is>
          <t>+X (Kopf bei X=-28, Mutter X=-20)</t>
        </is>
      </c>
      <c r="H7" s="35" t="inlineStr">
        <is>
          <t>P-09 (Lagergehäuse) + P-11 (Chassis)</t>
        </is>
      </c>
      <c r="I7" s="35" t="inlineStr">
        <is>
          <t>SW8 Steckschlüssel beidseitig frei</t>
        </is>
      </c>
      <c r="J7" s="49" t="n">
        <v>5.5</v>
      </c>
    </row>
    <row r="8" ht="19.5" customHeight="1" s="30">
      <c r="A8" s="38" t="inlineStr">
        <is>
          <t>F-04</t>
        </is>
      </c>
      <c r="B8" s="39" t="inlineStr">
        <is>
          <t>ISO 4017 M5x16</t>
        </is>
      </c>
      <c r="C8" s="39" t="inlineStr">
        <is>
          <t>M5 x 16, Sechskant SW8</t>
        </is>
      </c>
      <c r="D8" s="39" t="inlineStr">
        <is>
          <t>2x ISO 7089 A5,3 + 1x ISO 10511 M5</t>
        </is>
      </c>
      <c r="E8" s="39" t="inlineStr">
        <is>
          <t>Stahl FK 8.8 verzinkt</t>
        </is>
      </c>
      <c r="F8" s="39" t="inlineStr">
        <is>
          <t>X=-28..-16, Y=+19,8, Z=130,2 (315°)</t>
        </is>
      </c>
      <c r="G8" s="39" t="inlineStr">
        <is>
          <t>+X (Kopf bei X=-28, Mutter X=-20)</t>
        </is>
      </c>
      <c r="H8" s="39" t="inlineStr">
        <is>
          <t>P-09 (Lagergehäuse) + P-11 (Chassis)</t>
        </is>
      </c>
      <c r="I8" s="39" t="inlineStr">
        <is>
          <t>SW8 Steckschlüssel beidseitig frei</t>
        </is>
      </c>
      <c r="J8" s="57" t="n">
        <v>5.5</v>
      </c>
    </row>
    <row r="9" ht="19.5" customHeight="1" s="30">
      <c r="A9" s="34" t="inlineStr">
        <is>
          <t>F-05</t>
        </is>
      </c>
      <c r="B9" s="35" t="inlineStr">
        <is>
          <t>ISO 4017 M5x16</t>
        </is>
      </c>
      <c r="C9" s="35" t="inlineStr">
        <is>
          <t>M5 x 16, Sechskant SW8</t>
        </is>
      </c>
      <c r="D9" s="35" t="inlineStr">
        <is>
          <t>2x ISO 7089 A5,3 + 1x ISO 10511 M5</t>
        </is>
      </c>
      <c r="E9" s="35" t="inlineStr">
        <is>
          <t>Stahl FK 8.8 verzinkt</t>
        </is>
      </c>
      <c r="F9" s="35" t="inlineStr">
        <is>
          <t>X=-28..-16, Y=+55,0, Z=75,0</t>
        </is>
      </c>
      <c r="G9" s="35" t="inlineStr">
        <is>
          <t>+X (Kopf bei X=-28, Mutter X=-20)</t>
        </is>
      </c>
      <c r="H9" s="35" t="inlineStr">
        <is>
          <t>P-17L (Bein links) + P-11 (Chassis)</t>
        </is>
      </c>
      <c r="I9" s="35" t="inlineStr">
        <is>
          <t>SW8 Gabel-/Ringmaulschlüssel frei</t>
        </is>
      </c>
      <c r="J9" s="49" t="n">
        <v>5.5</v>
      </c>
    </row>
    <row r="10" ht="19.5" customHeight="1" s="30">
      <c r="A10" s="38" t="inlineStr">
        <is>
          <t>F-06</t>
        </is>
      </c>
      <c r="B10" s="39" t="inlineStr">
        <is>
          <t>ISO 4017 M5x16</t>
        </is>
      </c>
      <c r="C10" s="39" t="inlineStr">
        <is>
          <t>M5 x 16, Sechskant SW8</t>
        </is>
      </c>
      <c r="D10" s="39" t="inlineStr">
        <is>
          <t>2x ISO 7089 A5,3 + 1x ISO 10511 M5</t>
        </is>
      </c>
      <c r="E10" s="39" t="inlineStr">
        <is>
          <t>Stahl FK 8.8 verzinkt</t>
        </is>
      </c>
      <c r="F10" s="39" t="inlineStr">
        <is>
          <t>X=-28..-16, Y=+55,0, Z=100,0</t>
        </is>
      </c>
      <c r="G10" s="39" t="inlineStr">
        <is>
          <t>+X (Kopf bei X=-28, Mutter X=-20)</t>
        </is>
      </c>
      <c r="H10" s="39" t="inlineStr">
        <is>
          <t>P-17L (Bein links) + P-11 (Chassis)</t>
        </is>
      </c>
      <c r="I10" s="39" t="inlineStr">
        <is>
          <t>SW8 Gabel-/Ringmaulschlüssel frei</t>
        </is>
      </c>
      <c r="J10" s="57" t="n">
        <v>5.5</v>
      </c>
    </row>
    <row r="11" ht="19.5" customHeight="1" s="30">
      <c r="A11" s="34" t="inlineStr">
        <is>
          <t>F-07</t>
        </is>
      </c>
      <c r="B11" s="35" t="inlineStr">
        <is>
          <t>ISO 4017 M5x16</t>
        </is>
      </c>
      <c r="C11" s="35" t="inlineStr">
        <is>
          <t>M5 x 16, Sechskant SW8</t>
        </is>
      </c>
      <c r="D11" s="35" t="inlineStr">
        <is>
          <t>2x ISO 7089 A5,3 + 1x ISO 10511 M5</t>
        </is>
      </c>
      <c r="E11" s="35" t="inlineStr">
        <is>
          <t>Stahl FK 8.8 verzinkt</t>
        </is>
      </c>
      <c r="F11" s="35" t="inlineStr">
        <is>
          <t>X=-28..-16, Y=-55,0, Z=75,0</t>
        </is>
      </c>
      <c r="G11" s="35" t="inlineStr">
        <is>
          <t>+X (Kopf bei X=-28, Mutter X=-20)</t>
        </is>
      </c>
      <c r="H11" s="35" t="inlineStr">
        <is>
          <t>P-17R (Bein rechts) + P-11 (Chassis)</t>
        </is>
      </c>
      <c r="I11" s="35" t="inlineStr">
        <is>
          <t>SW8 Gabel-/Ringmaulschlüssel frei</t>
        </is>
      </c>
      <c r="J11" s="49" t="n">
        <v>5.5</v>
      </c>
    </row>
    <row r="12" ht="19.5" customHeight="1" s="30">
      <c r="A12" s="38" t="inlineStr">
        <is>
          <t>F-08</t>
        </is>
      </c>
      <c r="B12" s="39" t="inlineStr">
        <is>
          <t>ISO 4017 M5x16</t>
        </is>
      </c>
      <c r="C12" s="39" t="inlineStr">
        <is>
          <t>M5 x 16, Sechskant SW8</t>
        </is>
      </c>
      <c r="D12" s="39" t="inlineStr">
        <is>
          <t>2x ISO 7089 A5,3 + 1x ISO 10511 M5</t>
        </is>
      </c>
      <c r="E12" s="39" t="inlineStr">
        <is>
          <t>Stahl FK 8.8 verzinkt</t>
        </is>
      </c>
      <c r="F12" s="39" t="inlineStr">
        <is>
          <t>X=-28..-16, Y=-55,0, Z=100,0</t>
        </is>
      </c>
      <c r="G12" s="39" t="inlineStr">
        <is>
          <t>+X (Kopf bei X=-28, Mutter X=-20)</t>
        </is>
      </c>
      <c r="H12" s="39" t="inlineStr">
        <is>
          <t>P-17R (Bein rechts) + P-11 (Chassis)</t>
        </is>
      </c>
      <c r="I12" s="39" t="inlineStr">
        <is>
          <t>SW8 Gabel-/Ringmaulschlüssel frei</t>
        </is>
      </c>
      <c r="J12" s="57" t="n">
        <v>5.5</v>
      </c>
    </row>
    <row r="13" ht="19.5" customHeight="1" s="30">
      <c r="A13" s="34" t="inlineStr">
        <is>
          <t>F-09</t>
        </is>
      </c>
      <c r="B13" s="35" t="inlineStr">
        <is>
          <t>ISO 4017 M5x20</t>
        </is>
      </c>
      <c r="C13" s="35" t="inlineStr">
        <is>
          <t>M5 x 20, Sechskant SW8</t>
        </is>
      </c>
      <c r="D13" s="35" t="inlineStr">
        <is>
          <t>2x ISO 7089 A5,3 + 1x ISO 10511 M5</t>
        </is>
      </c>
      <c r="E13" s="35" t="inlineStr">
        <is>
          <t>Stahl FK 8.8 verzinkt</t>
        </is>
      </c>
      <c r="F13" s="35" t="inlineStr">
        <is>
          <t>X=-32..-16, Y=0,0, Z=212,0</t>
        </is>
      </c>
      <c r="G13" s="35" t="inlineStr">
        <is>
          <t>+X (Kopf bei X=-32, Mutter X=-20)</t>
        </is>
      </c>
      <c r="H13" s="35" t="inlineStr">
        <is>
          <t>P-12 (Führungsarm 8mm) + P-11 (Chassis)</t>
        </is>
      </c>
      <c r="I13" s="35" t="inlineStr">
        <is>
          <t>SW8 vor Flanschmontage voll zugänglich</t>
        </is>
      </c>
      <c r="J13" s="49" t="n">
        <v>5.5</v>
      </c>
    </row>
    <row r="14" ht="19.5" customHeight="1" s="30">
      <c r="A14" s="38" t="inlineStr">
        <is>
          <t>F-10</t>
        </is>
      </c>
      <c r="B14" s="39" t="inlineStr">
        <is>
          <t>ISO 4017 M5x20</t>
        </is>
      </c>
      <c r="C14" s="39" t="inlineStr">
        <is>
          <t>M5 x 20, Sechskant SW8</t>
        </is>
      </c>
      <c r="D14" s="39" t="inlineStr">
        <is>
          <t>2x ISO 7089 A5,3 + 1x ISO 10511 M5</t>
        </is>
      </c>
      <c r="E14" s="39" t="inlineStr">
        <is>
          <t>Stahl FK 8.8 verzinkt</t>
        </is>
      </c>
      <c r="F14" s="39" t="inlineStr">
        <is>
          <t>X=-32..-16, Y=0,0, Z=228,0</t>
        </is>
      </c>
      <c r="G14" s="39" t="inlineStr">
        <is>
          <t>+X (Kopf bei X=-32, Mutter X=-20)</t>
        </is>
      </c>
      <c r="H14" s="39" t="inlineStr">
        <is>
          <t>P-12 (Führungsarm 8mm) + P-11 (Chassis)</t>
        </is>
      </c>
      <c r="I14" s="39" t="inlineStr">
        <is>
          <t>SW8 vor Flanschmontage voll zugänglich</t>
        </is>
      </c>
      <c r="J14" s="57" t="n">
        <v>5.5</v>
      </c>
    </row>
    <row r="15" ht="19.5" customHeight="1" s="30">
      <c r="A15" s="34" t="inlineStr">
        <is>
          <t>F-11</t>
        </is>
      </c>
      <c r="B15" s="35" t="inlineStr">
        <is>
          <t>ISO 4017 M5x12</t>
        </is>
      </c>
      <c r="C15" s="35" t="inlineStr">
        <is>
          <t>M5 x 12, Sechskant SW8</t>
        </is>
      </c>
      <c r="D15" s="35" t="inlineStr">
        <is>
          <t>2x ISO 7089 A5,3 + 1x ISO 10511 M5</t>
        </is>
      </c>
      <c r="E15" s="35" t="inlineStr">
        <is>
          <t>Stahl FK 8.8 verzinkt</t>
        </is>
      </c>
      <c r="F15" s="35" t="inlineStr">
        <is>
          <t>X=0..10, Y=+32,9, Z=169,0 (30°)</t>
        </is>
      </c>
      <c r="G15" s="35" t="inlineStr">
        <is>
          <t>+X (Kopf bei X=0, Mutter im Konus X=6)</t>
        </is>
      </c>
      <c r="H15" s="35" t="inlineStr">
        <is>
          <t>P-01 (Hinterflansch) + P-02 (Trommel)</t>
        </is>
      </c>
      <c r="I15" s="35" t="inlineStr">
        <is>
          <t>SW8 durch offenes Trommelende +X</t>
        </is>
      </c>
      <c r="J15" s="49" t="n">
        <v>5.5</v>
      </c>
    </row>
    <row r="16" ht="19.5" customHeight="1" s="30">
      <c r="A16" s="38" t="inlineStr">
        <is>
          <t>F-12</t>
        </is>
      </c>
      <c r="B16" s="39" t="inlineStr">
        <is>
          <t>ISO 4017 M5x12</t>
        </is>
      </c>
      <c r="C16" s="39" t="inlineStr">
        <is>
          <t>M5 x 12, Sechskant SW8</t>
        </is>
      </c>
      <c r="D16" s="39" t="inlineStr">
        <is>
          <t>2x ISO 7089 A5,3 + 1x ISO 10511 M5</t>
        </is>
      </c>
      <c r="E16" s="39" t="inlineStr">
        <is>
          <t>Stahl FK 8.8 verzinkt</t>
        </is>
      </c>
      <c r="F16" s="39" t="inlineStr">
        <is>
          <t>X=0..10, Y=0,0, Z=188,0 (90°)</t>
        </is>
      </c>
      <c r="G16" s="39" t="inlineStr">
        <is>
          <t>+X (Kopf bei X=0, Mutter im Konus X=6)</t>
        </is>
      </c>
      <c r="H16" s="39" t="inlineStr">
        <is>
          <t>P-01 (Hinterflansch) + P-02 (Trommel)</t>
        </is>
      </c>
      <c r="I16" s="39" t="inlineStr">
        <is>
          <t>SW8 durch offenes Trommelende +X</t>
        </is>
      </c>
      <c r="J16" s="57" t="n">
        <v>5.5</v>
      </c>
    </row>
    <row r="17" ht="19.5" customHeight="1" s="30">
      <c r="A17" s="34" t="inlineStr">
        <is>
          <t>F-13</t>
        </is>
      </c>
      <c r="B17" s="35" t="inlineStr">
        <is>
          <t>ISO 4017 M5x12</t>
        </is>
      </c>
      <c r="C17" s="35" t="inlineStr">
        <is>
          <t>M5 x 12, Sechskant SW8</t>
        </is>
      </c>
      <c r="D17" s="35" t="inlineStr">
        <is>
          <t>2x ISO 7089 A5,3 + 1x ISO 10511 M5</t>
        </is>
      </c>
      <c r="E17" s="35" t="inlineStr">
        <is>
          <t>Stahl FK 8.8 verzinkt</t>
        </is>
      </c>
      <c r="F17" s="35" t="inlineStr">
        <is>
          <t>X=0..10, Y=-32,9, Z=169,0 (150°)</t>
        </is>
      </c>
      <c r="G17" s="35" t="inlineStr">
        <is>
          <t>+X (Kopf bei X=0, Mutter im Konus X=6)</t>
        </is>
      </c>
      <c r="H17" s="35" t="inlineStr">
        <is>
          <t>P-01 (Hinterflansch) + P-02 (Trommel)</t>
        </is>
      </c>
      <c r="I17" s="35" t="inlineStr">
        <is>
          <t>SW8 durch offenes Trommelende +X</t>
        </is>
      </c>
      <c r="J17" s="49" t="n">
        <v>5.5</v>
      </c>
    </row>
    <row r="18" ht="19.5" customHeight="1" s="30">
      <c r="A18" s="38" t="inlineStr">
        <is>
          <t>F-14</t>
        </is>
      </c>
      <c r="B18" s="39" t="inlineStr">
        <is>
          <t>ISO 4017 M5x12</t>
        </is>
      </c>
      <c r="C18" s="39" t="inlineStr">
        <is>
          <t>M5 x 12, Sechskant SW8</t>
        </is>
      </c>
      <c r="D18" s="39" t="inlineStr">
        <is>
          <t>2x ISO 7089 A5,3 + 1x ISO 10511 M5</t>
        </is>
      </c>
      <c r="E18" s="39" t="inlineStr">
        <is>
          <t>Stahl FK 8.8 verzinkt</t>
        </is>
      </c>
      <c r="F18" s="39" t="inlineStr">
        <is>
          <t>X=0..10, Y=-32,9, Z=131,0 (210°)</t>
        </is>
      </c>
      <c r="G18" s="39" t="inlineStr">
        <is>
          <t>+X (Kopf bei X=0, Mutter im Konus X=6)</t>
        </is>
      </c>
      <c r="H18" s="39" t="inlineStr">
        <is>
          <t>P-01 (Hinterflansch) + P-02 (Trommel)</t>
        </is>
      </c>
      <c r="I18" s="39" t="inlineStr">
        <is>
          <t>SW8 durch offenes Trommelende +X</t>
        </is>
      </c>
      <c r="J18" s="57" t="n">
        <v>5.5</v>
      </c>
    </row>
    <row r="19" ht="19.5" customHeight="1" s="30">
      <c r="A19" s="34" t="inlineStr">
        <is>
          <t>F-15</t>
        </is>
      </c>
      <c r="B19" s="35" t="inlineStr">
        <is>
          <t>ISO 4017 M5x12</t>
        </is>
      </c>
      <c r="C19" s="35" t="inlineStr">
        <is>
          <t>M5 x 12, Sechskant SW8</t>
        </is>
      </c>
      <c r="D19" s="35" t="inlineStr">
        <is>
          <t>2x ISO 7089 A5,3 + 1x ISO 10511 M5</t>
        </is>
      </c>
      <c r="E19" s="35" t="inlineStr">
        <is>
          <t>Stahl FK 8.8 verzinkt</t>
        </is>
      </c>
      <c r="F19" s="35" t="inlineStr">
        <is>
          <t>X=0..10, Y=0,0, Z=112,0 (270°)</t>
        </is>
      </c>
      <c r="G19" s="35" t="inlineStr">
        <is>
          <t>+X (Kopf bei X=0, Mutter im Konus X=6)</t>
        </is>
      </c>
      <c r="H19" s="35" t="inlineStr">
        <is>
          <t>P-01 (Hinterflansch) + P-02 (Trommel)</t>
        </is>
      </c>
      <c r="I19" s="35" t="inlineStr">
        <is>
          <t>SW8 durch offenes Trommelende +X</t>
        </is>
      </c>
      <c r="J19" s="49" t="n">
        <v>5.5</v>
      </c>
    </row>
    <row r="20" ht="19.5" customHeight="1" s="30">
      <c r="A20" s="38" t="inlineStr">
        <is>
          <t>F-16</t>
        </is>
      </c>
      <c r="B20" s="39" t="inlineStr">
        <is>
          <t>ISO 4017 M5x12</t>
        </is>
      </c>
      <c r="C20" s="39" t="inlineStr">
        <is>
          <t>M5 x 12, Sechskant SW8</t>
        </is>
      </c>
      <c r="D20" s="39" t="inlineStr">
        <is>
          <t>2x ISO 7089 A5,3 + 1x ISO 10511 M5</t>
        </is>
      </c>
      <c r="E20" s="39" t="inlineStr">
        <is>
          <t>Stahl FK 8.8 verzinkt</t>
        </is>
      </c>
      <c r="F20" s="39" t="inlineStr">
        <is>
          <t>X=0..10, Y=+32,9, Z=131,0 (330°)</t>
        </is>
      </c>
      <c r="G20" s="39" t="inlineStr">
        <is>
          <t>+X (Kopf bei X=0, Mutter im Konus X=6)</t>
        </is>
      </c>
      <c r="H20" s="39" t="inlineStr">
        <is>
          <t>P-01 (Hinterflansch) + P-02 (Trommel)</t>
        </is>
      </c>
      <c r="I20" s="39" t="inlineStr">
        <is>
          <t>SW8 durch offenes Trommelende +X</t>
        </is>
      </c>
      <c r="J20" s="57" t="n">
        <v>5.5</v>
      </c>
    </row>
    <row r="21" ht="19.5" customHeight="1" s="30">
      <c r="A21" s="34" t="inlineStr">
        <is>
          <t>F-17</t>
        </is>
      </c>
      <c r="B21" s="35" t="inlineStr">
        <is>
          <t>ISO 4762 M6x45</t>
        </is>
      </c>
      <c r="C21" s="35" t="inlineStr">
        <is>
          <t>M6 x 45, Zylinderschraube ISK5</t>
        </is>
      </c>
      <c r="D21" s="35" t="inlineStr">
        <is>
          <t>2x ISO 7089 A6,4 + 1x ISO 10511 M6</t>
        </is>
      </c>
      <c r="E21" s="35" t="inlineStr">
        <is>
          <t>Stahl FK 8.8 verzinkt</t>
        </is>
      </c>
      <c r="F21" s="35" t="inlineStr">
        <is>
          <t>X=-24,0, Y=+95,0, Z=12..53 (REV-05)</t>
        </is>
      </c>
      <c r="G21" s="35" t="inlineStr">
        <is>
          <t>+Z (Kopf versenkt Z=8..12, Mutter Z=48)</t>
        </is>
      </c>
      <c r="H21" s="35" t="inlineStr">
        <is>
          <t>P-18 (Querträger) + P-19L (Schiene L)</t>
        </is>
      </c>
      <c r="I21" s="35" t="inlineStr">
        <is>
          <t>ISK5 unten + SW10 oben (12mm Bodenfreiheit!)</t>
        </is>
      </c>
      <c r="J21" s="49" t="n">
        <v>9.5</v>
      </c>
    </row>
    <row r="22" ht="19.5" customHeight="1" s="30">
      <c r="A22" s="38" t="inlineStr">
        <is>
          <t>F-18</t>
        </is>
      </c>
      <c r="B22" s="39" t="inlineStr">
        <is>
          <t>ISO 4762 M6x45</t>
        </is>
      </c>
      <c r="C22" s="39" t="inlineStr">
        <is>
          <t>M6 x 45, Zylinderschraube ISK5</t>
        </is>
      </c>
      <c r="D22" s="39" t="inlineStr">
        <is>
          <t>2x ISO 7089 A6,4 + 1x ISO 10511 M6</t>
        </is>
      </c>
      <c r="E22" s="39" t="inlineStr">
        <is>
          <t>Stahl FK 8.8 verzinkt</t>
        </is>
      </c>
      <c r="F22" s="39" t="inlineStr">
        <is>
          <t>X=-24,0, Y=-95,0, Z=12..53 (REV-05)</t>
        </is>
      </c>
      <c r="G22" s="39" t="inlineStr">
        <is>
          <t>+Z (Kopf versenkt Z=8..12, Mutter Z=48)</t>
        </is>
      </c>
      <c r="H22" s="39" t="inlineStr">
        <is>
          <t>P-18 (Querträger) + P-19R (Schiene R)</t>
        </is>
      </c>
      <c r="I22" s="39" t="inlineStr">
        <is>
          <t>ISK5 unten + SW10 oben (12mm Bodenfreiheit!)</t>
        </is>
      </c>
      <c r="J22" s="57" t="n">
        <v>9.5</v>
      </c>
    </row>
    <row r="23" ht="19.5" customHeight="1" s="30">
      <c r="A23" s="34" t="inlineStr">
        <is>
          <t>F-19</t>
        </is>
      </c>
      <c r="B23" s="35" t="inlineStr">
        <is>
          <t>ISO 7380 M6x25</t>
        </is>
      </c>
      <c r="C23" s="35" t="inlineStr">
        <is>
          <t>M6 x 25, Flachkopf ISK4</t>
        </is>
      </c>
      <c r="D23" s="35" t="inlineStr">
        <is>
          <t>2x ISO 7089 A6,4 + 1x ISO 10511 M6</t>
        </is>
      </c>
      <c r="E23" s="35" t="inlineStr">
        <is>
          <t>Stahl FK 8.8 verzinkt</t>
        </is>
      </c>
      <c r="F23" s="35" t="inlineStr">
        <is>
          <t>X=-24,0, Y=+30,0, Z=12..33 (REV-05)</t>
        </is>
      </c>
      <c r="G23" s="35" t="inlineStr">
        <is>
          <t>+Z (Kopf bei Z=12, Mutter oben Z=28)</t>
        </is>
      </c>
      <c r="H23" s="35" t="inlineStr">
        <is>
          <t>P-18 (Querträger) + P-20 (Fußplatte)</t>
        </is>
      </c>
      <c r="I23" s="35" t="inlineStr">
        <is>
          <t>ISK4 unten (Z=12) + SW10 oben (Z=28)</t>
        </is>
      </c>
      <c r="J23" s="49" t="n">
        <v>9.5</v>
      </c>
    </row>
    <row r="24" ht="19.5" customHeight="1" s="30">
      <c r="A24" s="38" t="inlineStr">
        <is>
          <t>F-20</t>
        </is>
      </c>
      <c r="B24" s="39" t="inlineStr">
        <is>
          <t>ISO 7380 M6x25</t>
        </is>
      </c>
      <c r="C24" s="39" t="inlineStr">
        <is>
          <t>M6 x 25, Flachkopf ISK4</t>
        </is>
      </c>
      <c r="D24" s="39" t="inlineStr">
        <is>
          <t>2x ISO 7089 A6,4 + 1x ISO 10511 M6</t>
        </is>
      </c>
      <c r="E24" s="39" t="inlineStr">
        <is>
          <t>Stahl FK 8.8 verzinkt</t>
        </is>
      </c>
      <c r="F24" s="39" t="inlineStr">
        <is>
          <t>X=-24,0, Y=-30,0, Z=12..33 (REV-05)</t>
        </is>
      </c>
      <c r="G24" s="39" t="inlineStr">
        <is>
          <t>+Z (Kopf bei Z=12, Mutter oben Z=28)</t>
        </is>
      </c>
      <c r="H24" s="39" t="inlineStr">
        <is>
          <t>P-18 (Querträger) + P-20 (Fußplatte)</t>
        </is>
      </c>
      <c r="I24" s="39" t="inlineStr">
        <is>
          <t>ISK4 unten (Z=12) + SW10 oben (Z=28)</t>
        </is>
      </c>
      <c r="J24" s="57" t="n">
        <v>9.5</v>
      </c>
    </row>
    <row r="25" ht="19.5" customHeight="1" s="30">
      <c r="A25" s="34" t="inlineStr">
        <is>
          <t>F-21</t>
        </is>
      </c>
      <c r="B25" s="35" t="inlineStr">
        <is>
          <t>ISO 4762 M6x50</t>
        </is>
      </c>
      <c r="C25" s="35" t="inlineStr">
        <is>
          <t>M6 x 50, Paß-/Querschraube ISK5</t>
        </is>
      </c>
      <c r="D25" s="35" t="inlineStr">
        <is>
          <t>2x ISO 7089 A6,4 + 1x ISO 10511 M6</t>
        </is>
      </c>
      <c r="E25" s="35" t="inlineStr">
        <is>
          <t>Stahl FK 8.8 verzinkt</t>
        </is>
      </c>
      <c r="F25" s="35" t="inlineStr">
        <is>
          <t>X=-9,0, Y=-25..+25, Z=150,0 (REV-03)</t>
        </is>
      </c>
      <c r="G25" s="35" t="inlineStr">
        <is>
          <t>+Y (Quer durch Nabe Ø44 und Welle Ø17)</t>
        </is>
      </c>
      <c r="H25" s="35" t="inlineStr">
        <is>
          <t>P-01 (Hinterflansch-Nabe) + P-07 (Spindel)</t>
        </is>
      </c>
      <c r="I25" s="35" t="inlineStr">
        <is>
          <t>ISK5 + SW10 radial zwischen X=-18..0 frei</t>
        </is>
      </c>
      <c r="J25" s="49" t="n">
        <v>10</v>
      </c>
    </row>
    <row r="26" ht="19.5" customHeight="1" s="30">
      <c r="A26" s="38" t="inlineStr">
        <is>
          <t>F-22</t>
        </is>
      </c>
      <c r="B26" s="39" t="inlineStr">
        <is>
          <t>ISO 10511 M10x1,5</t>
        </is>
      </c>
      <c r="C26" s="39" t="inlineStr">
        <is>
          <t>M10x1,5 Sicherungsmutter SW17</t>
        </is>
      </c>
      <c r="D26" s="39" t="inlineStr">
        <is>
          <t>1x ISO 7089 A10,5 Scheibe</t>
        </is>
      </c>
      <c r="E26" s="39" t="inlineStr">
        <is>
          <t>Stahl FK 8 verzinkt</t>
        </is>
      </c>
      <c r="F26" s="39" t="inlineStr">
        <is>
          <t>X=-36..-32, Y=0,0, Z=285,0 (REV-02)</t>
        </is>
      </c>
      <c r="G26" s="39" t="inlineStr">
        <is>
          <t>-X (Auf Gewindezapfen von P-13)</t>
        </is>
      </c>
      <c r="H26" s="39" t="inlineStr">
        <is>
          <t>P-13 (Führungsachse) + P-12 (Führungsarm)</t>
        </is>
      </c>
      <c r="I26" s="39" t="inlineStr">
        <is>
          <t>SW17 Ringschlüssel auf Rückseite X=-36</t>
        </is>
      </c>
      <c r="J26" s="57" t="n">
        <v>35</v>
      </c>
    </row>
    <row r="27" ht="19.5" customHeight="1" s="30">
      <c r="A27" s="34" t="inlineStr">
        <is>
          <t>F-23..26</t>
        </is>
      </c>
      <c r="B27" s="35" t="inlineStr">
        <is>
          <t>4x ISO 7380 M5x16</t>
        </is>
      </c>
      <c r="C27" s="35" t="inlineStr">
        <is>
          <t>4x M5 x 16, Flachkopf ISK3</t>
        </is>
      </c>
      <c r="D27" s="35" t="inlineStr">
        <is>
          <t>8x ISO 7089 A5,3 + 4x ISO 10511 M5</t>
        </is>
      </c>
      <c r="E27" s="35" t="inlineStr">
        <is>
          <t>Stahl FK 8.8 verzinkt</t>
        </is>
      </c>
      <c r="F27" s="35" t="inlineStr">
        <is>
          <t>X=-225..-185, Y=±24, Z=12..24 (REV-04)</t>
        </is>
      </c>
      <c r="G27" s="35" t="inlineStr">
        <is>
          <t>+Z (Von Fußplatte Z=12 nach oben)</t>
        </is>
      </c>
      <c r="H27" s="35" t="inlineStr">
        <is>
          <t>P-21 (Drehmomentstütze) + P-20 (Fußplatte)</t>
        </is>
      </c>
      <c r="I27" s="35" t="inlineStr">
        <is>
          <t>ISK3 + SW8 frei zugänglich</t>
        </is>
      </c>
      <c r="J27" s="49" t="n">
        <v>5.5</v>
      </c>
    </row>
    <row r="28" ht="19.5" customHeight="1" s="30">
      <c r="A28" s="38" t="inlineStr">
        <is>
          <t>F-27..28</t>
        </is>
      </c>
      <c r="B28" s="39" t="inlineStr">
        <is>
          <t>2x ISO 4762 M5x16</t>
        </is>
      </c>
      <c r="C28" s="39" t="inlineStr">
        <is>
          <t>2x M5 x 16, Zylinderschraube ISK4</t>
        </is>
      </c>
      <c r="D28" s="39" t="inlineStr">
        <is>
          <t>4x ISO 7089 A5,3 + 2x ISO 10511 M5</t>
        </is>
      </c>
      <c r="E28" s="39" t="inlineStr">
        <is>
          <t>Stahl FK 8.8 verzinkt</t>
        </is>
      </c>
      <c r="F28" s="39" t="inlineStr">
        <is>
          <t>X=48 &amp; 68, Y=-105, Z=38,0</t>
        </is>
      </c>
      <c r="G28" s="39" t="inlineStr">
        <is>
          <t>-Y (An rechter Bodenschiene P-19R)</t>
        </is>
      </c>
      <c r="H28" s="39" t="inlineStr">
        <is>
          <t>P-22 (Ventil-Zugentlastung) + P-19R</t>
        </is>
      </c>
      <c r="I28" s="39" t="inlineStr">
        <is>
          <t>ISK4 seitlich frei zugänglich</t>
        </is>
      </c>
      <c r="J28" s="57" t="n">
        <v>5.5</v>
      </c>
    </row>
    <row r="29" ht="19.5" customHeight="1" s="30">
      <c r="A29" s="34" t="inlineStr">
        <is>
          <t>F-29..34</t>
        </is>
      </c>
      <c r="B29" s="35" t="inlineStr">
        <is>
          <t>6x ISO 4762 M5x16</t>
        </is>
      </c>
      <c r="C29" s="35" t="inlineStr">
        <is>
          <t>6x M5 x 16, Senksitz in Gummifuß</t>
        </is>
      </c>
      <c r="D29" s="35" t="inlineStr">
        <is>
          <t>6x ISO 7089 A5,3 + 6x Einpressmutter M5</t>
        </is>
      </c>
      <c r="E29" s="35" t="inlineStr">
        <is>
          <t>Edelstahl A2-70</t>
        </is>
      </c>
      <c r="F29" s="35" t="inlineStr">
        <is>
          <t>X=196 (Y=±95), X=-24 (Y=±110), X=-140 (Y=±40)</t>
        </is>
      </c>
      <c r="G29" s="35" t="inlineStr">
        <is>
          <t>+Z (Tief im Gummifuß versenkt Z&gt;=8)</t>
        </is>
      </c>
      <c r="H29" s="35" t="inlineStr">
        <is>
          <t>P-23A/B (Elastomerfüße) + P-18/P-19/P-20</t>
        </is>
      </c>
      <c r="I29" s="35" t="inlineStr">
        <is>
          <t>ISK4 von unten durch Senkung im Gummifuß</t>
        </is>
      </c>
      <c r="J29" s="49" t="n">
        <v>4</v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9" min="1" max="1"/>
    <col width="29" customWidth="1" style="29" min="2" max="2"/>
    <col width="30" customWidth="1" style="29" min="3" max="3"/>
    <col width="42" customWidth="1" style="29" min="4" max="6"/>
    <col width="38" customWidth="1" style="29" min="7" max="7"/>
    <col width="37" customWidth="1" style="29" min="8" max="8"/>
    <col width="42" customWidth="1" style="29" min="9" max="9"/>
  </cols>
  <sheetData>
    <row r="1" ht="25.5" customHeight="1" s="30">
      <c r="A1" s="31" t="inlineStr">
        <is>
          <t>Navaneeth Compact 40M v2.0 – Verbindungen</t>
        </is>
      </c>
    </row>
    <row r="2" ht="18" customHeight="1" s="30">
      <c r="A2" s="32" t="inlineStr">
        <is>
          <t>Vollständiges Verbindungs- und Passungsregister (Mating-Flächen, Passungen, Befestiger und Prüfmethoden)</t>
        </is>
      </c>
    </row>
    <row r="3"/>
    <row r="4" ht="24" customHeight="1" s="30">
      <c r="A4" s="33" t="inlineStr">
        <is>
          <t>Verbindungs-ID</t>
        </is>
      </c>
      <c r="B4" s="33" t="inlineStr">
        <is>
          <t>Bauteil A</t>
        </is>
      </c>
      <c r="C4" s="33" t="inlineStr">
        <is>
          <t>Bauteil B</t>
        </is>
      </c>
      <c r="D4" s="33" t="inlineStr">
        <is>
          <t>Verbindungstyp</t>
        </is>
      </c>
      <c r="E4" s="33" t="inlineStr">
        <is>
          <t>Mating-Flächen &amp; Achse</t>
        </is>
      </c>
      <c r="F4" s="33" t="inlineStr">
        <is>
          <t>Maße, Passung &amp; Spiel</t>
        </is>
      </c>
      <c r="G4" s="33" t="inlineStr">
        <is>
          <t>Befestiger-IDs</t>
        </is>
      </c>
      <c r="H4" s="33" t="inlineStr">
        <is>
          <t>Montagereihenfolge</t>
        </is>
      </c>
      <c r="I4" s="33" t="inlineStr">
        <is>
          <t>Prüfmethode</t>
        </is>
      </c>
    </row>
    <row r="5" ht="19.5" customHeight="1" s="30">
      <c r="A5" s="34" t="inlineStr">
        <is>
          <t>JNT-01</t>
        </is>
      </c>
      <c r="B5" s="35" t="inlineStr">
        <is>
          <t>P-07 (Spindel)</t>
        </is>
      </c>
      <c r="C5" s="35" t="inlineStr">
        <is>
          <t>P-08A/B (Lager 6003)</t>
        </is>
      </c>
      <c r="D5" s="35" t="inlineStr">
        <is>
          <t>Zylindrische Wälzlagerpassung</t>
        </is>
      </c>
      <c r="E5" s="35" t="inlineStr">
        <is>
          <t>X=[-84..-74] &amp; [-34..-24], Koaxial X</t>
        </is>
      </c>
      <c r="F5" s="35" t="inlineStr">
        <is>
          <t>Welle Ø17,00 k5 (+2/+10 µm) in Lager d=17,00</t>
        </is>
      </c>
      <c r="G5" s="34" t="inlineStr">
        <is>
          <t>P-10 (Distanzhülse)</t>
        </is>
      </c>
      <c r="H5" s="35" t="inlineStr">
        <is>
          <t>Schritt 1 (Baugruppe Spindel)</t>
        </is>
      </c>
      <c r="I5" s="35" t="inlineStr">
        <is>
          <t>Bügelmessschraube Ø17,002..17,010 mm</t>
        </is>
      </c>
    </row>
    <row r="6" ht="19.5" customHeight="1" s="30">
      <c r="A6" s="38" t="inlineStr">
        <is>
          <t>JNT-02</t>
        </is>
      </c>
      <c r="B6" s="39" t="inlineStr">
        <is>
          <t>P-08A/B (Lager 6003)</t>
        </is>
      </c>
      <c r="C6" s="39" t="inlineStr">
        <is>
          <t>P-09 (Lagergehäuse)</t>
        </is>
      </c>
      <c r="D6" s="39" t="inlineStr">
        <is>
          <t>Abgesetzter Lagersitz mit Schulter</t>
        </is>
      </c>
      <c r="E6" s="39" t="inlineStr">
        <is>
          <t>X=[-84..-74] &amp; [-34..-24], Schulter X=-74/-34</t>
        </is>
      </c>
      <c r="F6" s="39" t="inlineStr">
        <is>
          <t>Gehäuse Ø35,00 H7 (+0/+25 µm) für D=35,00</t>
        </is>
      </c>
      <c r="G6" s="38" t="inlineStr">
        <is>
          <t>Gehäuseschulter Ø31</t>
        </is>
      </c>
      <c r="H6" s="39" t="inlineStr">
        <is>
          <t>Schritt 2 (Einpressen in Gehäuse)</t>
        </is>
      </c>
      <c r="I6" s="39" t="inlineStr">
        <is>
          <t>Grenzlehrdorn Ø35 H7 + Tiefenmaß 10,0 mm</t>
        </is>
      </c>
    </row>
    <row r="7" ht="19.5" customHeight="1" s="30">
      <c r="A7" s="34" t="inlineStr">
        <is>
          <t>JNT-03</t>
        </is>
      </c>
      <c r="B7" s="35" t="inlineStr">
        <is>
          <t>P-09 (Lagergehäuse)</t>
        </is>
      </c>
      <c r="C7" s="35" t="inlineStr">
        <is>
          <t>P-11 (Chassisplatte)</t>
        </is>
      </c>
      <c r="D7" s="35" t="inlineStr">
        <is>
          <t>Stirnflansch-Verschraubung</t>
        </is>
      </c>
      <c r="E7" s="35" t="inlineStr">
        <is>
          <t>Ebene X = -24,0 mm, Teilkreis R=28 mm</t>
        </is>
      </c>
      <c r="F7" s="35" t="inlineStr">
        <is>
          <t>4x Ø5,5 Durchgangsloch, Zentrierung über Ø36</t>
        </is>
      </c>
      <c r="G7" s="34" t="inlineStr">
        <is>
          <t>F-01, F-02, F-03, F-04</t>
        </is>
      </c>
      <c r="H7" s="35" t="inlineStr">
        <is>
          <t>Schritt 5 (Nach Rahmenmontage)</t>
        </is>
      </c>
      <c r="I7" s="35" t="inlineStr">
        <is>
          <t>Drehmomentschlüssel 5,5 Nm + Rundlaufprüfung</t>
        </is>
      </c>
    </row>
    <row r="8" ht="19.5" customHeight="1" s="30">
      <c r="A8" s="38" t="inlineStr">
        <is>
          <t>JNT-04</t>
        </is>
      </c>
      <c r="B8" s="39" t="inlineStr">
        <is>
          <t>P-01 (Hinterflansch-Nabe)</t>
        </is>
      </c>
      <c r="C8" s="39" t="inlineStr">
        <is>
          <t>P-07 (Spindel)</t>
        </is>
      </c>
      <c r="D8" s="39" t="inlineStr">
        <is>
          <t>Formschnittige Naben-Stift-Verbindung (REV-03)</t>
        </is>
      </c>
      <c r="E8" s="39" t="inlineStr">
        <is>
          <t>X=[-18..3], Querbohrung X=-9,0 mm</t>
        </is>
      </c>
      <c r="F8" s="39" t="inlineStr">
        <is>
          <t>Nabe Ø17,02 H7 auf Ø17,00 k5 + Querbolzen Ø6</t>
        </is>
      </c>
      <c r="G8" s="38" t="inlineStr">
        <is>
          <t>F-21 (M6x50 FK 8.8)</t>
        </is>
      </c>
      <c r="H8" s="39" t="inlineStr">
        <is>
          <t>Schritt 6 (Trommel-Aufschub)</t>
        </is>
      </c>
      <c r="I8" s="39" t="inlineStr">
        <is>
          <t>Drehmomenttest 20 Nm spielfrei</t>
        </is>
      </c>
    </row>
    <row r="9" ht="19.5" customHeight="1" s="30">
      <c r="A9" s="34" t="inlineStr">
        <is>
          <t>JNT-05</t>
        </is>
      </c>
      <c r="B9" s="35" t="inlineStr">
        <is>
          <t>P-01 (Hinterflansch)</t>
        </is>
      </c>
      <c r="C9" s="35" t="inlineStr">
        <is>
          <t>P-02 (Konische Trommel)</t>
        </is>
      </c>
      <c r="D9" s="35" t="inlineStr">
        <is>
          <t>Axiale Flanschverschraubung</t>
        </is>
      </c>
      <c r="E9" s="35" t="inlineStr">
        <is>
          <t>Ebene X = 3,0 mm, Teilkreis R=38 mm</t>
        </is>
      </c>
      <c r="F9" s="35" t="inlineStr">
        <is>
          <t>6x Ø5,5 Bohrung auf TK Ø76 mm</t>
        </is>
      </c>
      <c r="G9" s="34" t="inlineStr">
        <is>
          <t>F-11, F-12, F-13, F-14, F-15, F-16</t>
        </is>
      </c>
      <c r="H9" s="35" t="inlineStr">
        <is>
          <t>Schritt 3 (Vormontage Trommel)</t>
        </is>
      </c>
      <c r="I9" s="35" t="inlineStr">
        <is>
          <t>Planlaufprüfung Flansch &lt; 0,15 mm</t>
        </is>
      </c>
    </row>
    <row r="10" ht="19.5" customHeight="1" s="30">
      <c r="A10" s="38" t="inlineStr">
        <is>
          <t>JNT-06</t>
        </is>
      </c>
      <c r="B10" s="39" t="inlineStr">
        <is>
          <t>P-04 (Vorderflansch)</t>
        </is>
      </c>
      <c r="C10" s="39" t="inlineStr">
        <is>
          <t>P-02 (Trommel) &amp; P-07</t>
        </is>
      </c>
      <c r="D10" s="39" t="inlineStr">
        <is>
          <t>Schnellwechsel-Steckpassung (+X)</t>
        </is>
      </c>
      <c r="E10" s="39" t="inlineStr">
        <is>
          <t>Ebene X = 113,0 mm, Spindel X=[113..117]</t>
        </is>
      </c>
      <c r="F10" s="39" t="inlineStr">
        <is>
          <t>Zentrierbohrung Ø17,20 H8 auf Welle Ø17,00 (Spiel +0,2)</t>
        </is>
      </c>
      <c r="G10" s="38" t="inlineStr">
        <is>
          <t>P-05 (Scheibe) + P-06 (Pin)</t>
        </is>
      </c>
      <c r="H10" s="39" t="inlineStr">
        <is>
          <t>Schritt 7 (Schnellverschluss)</t>
        </is>
      </c>
      <c r="I10" s="39" t="inlineStr">
        <is>
          <t>Abziehbarkeit von Hand in +X ohne Verkanten</t>
        </is>
      </c>
    </row>
    <row r="11" ht="19.5" customHeight="1" s="30">
      <c r="A11" s="34" t="inlineStr">
        <is>
          <t>JNT-07</t>
        </is>
      </c>
      <c r="B11" s="35" t="inlineStr">
        <is>
          <t>P-12 (Führungsarm 8mm)</t>
        </is>
      </c>
      <c r="C11" s="35" t="inlineStr">
        <is>
          <t>P-11 (Chassisplatte)</t>
        </is>
      </c>
      <c r="D11" s="35" t="inlineStr">
        <is>
          <t>Doppel-Scherverschraubung (REV-02)</t>
        </is>
      </c>
      <c r="E11" s="35" t="inlineStr">
        <is>
          <t>Ebene X = -24,0 mm, Z=212 &amp; 228 mm</t>
        </is>
      </c>
      <c r="F11" s="35" t="inlineStr">
        <is>
          <t>2x Ø5,5 Durchgangsbohrung, Plananlage 28x30 mm</t>
        </is>
      </c>
      <c r="G11" s="34" t="inlineStr">
        <is>
          <t>F-09, F-10</t>
        </is>
      </c>
      <c r="H11" s="35" t="inlineStr">
        <is>
          <t>Schritt 4 (Vor Hinterflansch)</t>
        </is>
      </c>
      <c r="I11" s="35" t="inlineStr">
        <is>
          <t>Winkligkeit Führungsachse zu Spindel &lt; 0,2°</t>
        </is>
      </c>
    </row>
    <row r="12" ht="19.5" customHeight="1" s="30">
      <c r="A12" s="38" t="inlineStr">
        <is>
          <t>JNT-08</t>
        </is>
      </c>
      <c r="B12" s="39" t="inlineStr">
        <is>
          <t>P-13 (Führungsachse)</t>
        </is>
      </c>
      <c r="C12" s="39" t="inlineStr">
        <is>
          <t>P-12 (Führungsarm) &amp; P-14</t>
        </is>
      </c>
      <c r="D12" s="39" t="inlineStr">
        <is>
          <t>Schulterbolzen + Lagersitz (REV-02)</t>
        </is>
      </c>
      <c r="E12" s="39" t="inlineStr">
        <is>
          <t>Schulter X=-24, Lagersitze X=[-14..-5] &amp; [109..118]</t>
        </is>
      </c>
      <c r="F12" s="39" t="inlineStr">
        <is>
          <t>Wurzel Ø16 am Arm, Lagersitz Ø15,00 k5 für 6002-2RS</t>
        </is>
      </c>
      <c r="G12" s="38" t="inlineStr">
        <is>
          <t>F-22 (M10x1,5 Mutter)</t>
        </is>
      </c>
      <c r="H12" s="39" t="inlineStr">
        <is>
          <t>Schritt 8 (Führungsbaugruppe)</t>
        </is>
      </c>
      <c r="I12" s="39" t="inlineStr">
        <is>
          <t>Grenzrachenlehre Ø15 k5 + Leichtlauf Rolle</t>
        </is>
      </c>
    </row>
    <row r="13" ht="19.5" customHeight="1" s="30">
      <c r="A13" s="34" t="inlineStr">
        <is>
          <t>JNT-09</t>
        </is>
      </c>
      <c r="B13" s="35" t="inlineStr">
        <is>
          <t>P-18 (Querträger)</t>
        </is>
      </c>
      <c r="C13" s="35" t="inlineStr">
        <is>
          <t>P-19L/R &amp; P-20 (Fußplatte)</t>
        </is>
      </c>
      <c r="D13" s="35" t="inlineStr">
        <is>
          <t>Bodenfreie Rahmenverschraubung (+Z, REV-05)</t>
        </is>
      </c>
      <c r="E13" s="35" t="inlineStr">
        <is>
          <t>Ebenen Z = 28,0 mm und Z = 12,0 mm</t>
        </is>
      </c>
      <c r="F13" s="35" t="inlineStr">
        <is>
          <t>Köpfe bei Z=8..12 versenkt, Muttern oben Z=28/48</t>
        </is>
      </c>
      <c r="G13" s="34" t="inlineStr">
        <is>
          <t>F-17, F-18, F-19, F-20</t>
        </is>
      </c>
      <c r="H13" s="35" t="inlineStr">
        <is>
          <t>Schritt 1 (Grundrahmen)</t>
        </is>
      </c>
      <c r="I13" s="35" t="inlineStr">
        <is>
          <t>Bodenfreiheitslehre &gt;= 12,0 mm unter allen Schrauben</t>
        </is>
      </c>
    </row>
    <row r="14" ht="19.5" customHeight="1" s="30">
      <c r="A14" s="38" t="inlineStr">
        <is>
          <t>JNT-10</t>
        </is>
      </c>
      <c r="B14" s="39" t="inlineStr">
        <is>
          <t>P-21 (Drehmomentstütze)</t>
        </is>
      </c>
      <c r="C14" s="39" t="inlineStr">
        <is>
          <t>P-20 (Fußplatte) &amp; REF-02</t>
        </is>
      </c>
      <c r="D14" s="39" t="inlineStr">
        <is>
          <t>Formschlüssige Griff-Reaktionsstütze (REV-04)</t>
        </is>
      </c>
      <c r="E14" s="39" t="inlineStr">
        <is>
          <t>Z=15,0 mm (Fußplatte) &amp; Z=[78..102] (Griff)</t>
        </is>
      </c>
      <c r="F14" s="39" t="inlineStr">
        <is>
          <t>Griffaufnahme 45x36 mm mit 3mm NBR-Schutzpolster</t>
        </is>
      </c>
      <c r="G14" s="38" t="inlineStr">
        <is>
          <t>F-23, F-24, F-25, F-26</t>
        </is>
      </c>
      <c r="H14" s="39" t="inlineStr">
        <is>
          <t>Schritt 9 (Schrauber-Einsetzen)</t>
        </is>
      </c>
      <c r="I14" s="39" t="inlineStr">
        <is>
          <t>Blockiermoment-Test 20 Nm ohne Gehäusedrehung</t>
        </is>
      </c>
    </row>
    <row r="15" ht="19.5" customHeight="1" s="30">
      <c r="A15" s="34" t="inlineStr">
        <is>
          <t>JNT-11</t>
        </is>
      </c>
      <c r="B15" s="35" t="inlineStr">
        <is>
          <t>P-22 (Zugentlastung)</t>
        </is>
      </c>
      <c r="C15" s="35" t="inlineStr">
        <is>
          <t>P-19R (Schiene R) &amp; REF-03</t>
        </is>
      </c>
      <c r="D15" s="35" t="inlineStr">
        <is>
          <t>Klemmende Band-Zugentlastung</t>
        </is>
      </c>
      <c r="E15" s="35" t="inlineStr">
        <is>
          <t>X=[42..74], Y=-105..-135, Z=[28..64]</t>
        </is>
      </c>
      <c r="F15" s="35" t="inlineStr">
        <is>
          <t>Bandkanal 26x4 mm klemmt Band vor Ventilanschluss</t>
        </is>
      </c>
      <c r="G15" s="34" t="inlineStr">
        <is>
          <t>F-27, F-28</t>
        </is>
      </c>
      <c r="H15" s="35" t="inlineStr">
        <is>
          <t>Schritt 10 (Feldanschluss)</t>
        </is>
      </c>
      <c r="I15" s="35" t="inlineStr">
        <is>
          <t>Zugtest 120 N am Band -&gt; 0 N am Ventilanschluss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9" customWidth="1" style="29" min="1" max="1"/>
    <col width="42" customWidth="1" style="29" min="2" max="2"/>
    <col width="25" customWidth="1" style="29" min="3" max="3"/>
    <col width="42" customWidth="1" style="29" min="4" max="8"/>
  </cols>
  <sheetData>
    <row r="1" ht="25.5" customHeight="1" s="30">
      <c r="A1" s="31" t="inlineStr">
        <is>
          <t>Navaneeth Compact 40M v2.0 – Validierung und Risiken</t>
        </is>
      </c>
    </row>
    <row r="2" ht="18" customHeight="1" s="30">
      <c r="A2" s="32" t="inlineStr">
        <is>
          <t>Trennungsnachweis (Annahme vs. Berechnung vs. CAD-Prüfung vs. Physischer Test) und Freigabesperrpunkte</t>
        </is>
      </c>
    </row>
    <row r="3"/>
    <row r="4" ht="24" customHeight="1" s="30">
      <c r="A4" s="33" t="inlineStr">
        <is>
          <t>Risiko-/Prüf-ID</t>
        </is>
      </c>
      <c r="B4" s="33" t="inlineStr">
        <is>
          <t>Thema / Anforderung</t>
        </is>
      </c>
      <c r="C4" s="33" t="inlineStr">
        <is>
          <t>Kategorie</t>
        </is>
      </c>
      <c r="D4" s="33" t="inlineStr">
        <is>
          <t>Durchgeführte Prüfung in v2.0</t>
        </is>
      </c>
      <c r="E4" s="33" t="inlineStr">
        <is>
          <t>Ergebnis / Zahlenwert</t>
        </is>
      </c>
      <c r="F4" s="33" t="inlineStr">
        <is>
          <t>Noch erforderlicher physischer Test</t>
        </is>
      </c>
      <c r="G4" s="33" t="inlineStr">
        <is>
          <t>Auswirkung auf Serienfreigabe</t>
        </is>
      </c>
      <c r="H4" s="33" t="inlineStr">
        <is>
          <t>Status</t>
        </is>
      </c>
    </row>
    <row r="5" ht="19.5" customHeight="1" s="30">
      <c r="A5" s="34" t="inlineStr">
        <is>
          <t>VAL-01</t>
        </is>
      </c>
      <c r="B5" s="35" t="inlineStr">
        <is>
          <t>Wickelkapazität 40 m Einzelband (4-Spur-Traverse)</t>
        </is>
      </c>
      <c r="C5" s="34" t="inlineStr">
        <is>
          <t>Berechnung + CAD</t>
        </is>
      </c>
      <c r="D5" s="35" t="inlineStr">
        <is>
          <t>Kreisringmodell über 4 Spuren à 10 m + 3D-Geometrie</t>
        </is>
      </c>
      <c r="E5" s="35" t="inlineStr">
        <is>
          <t>R_coil = 96,58 mm &lt; R_flange = 110 mm (13,4 mm Reserve)</t>
        </is>
      </c>
      <c r="F5" s="35" t="inlineStr">
        <is>
          <t>Wickelversuch mit realem 40m ALLWIN GOLD Band (t_eff, eta)</t>
        </is>
      </c>
      <c r="G5" s="35" t="inlineStr">
        <is>
          <t>Freigegeben für Prototypenbau</t>
        </is>
      </c>
      <c r="H5" s="37" t="inlineStr">
        <is>
          <t>VALIDIERT (CAD &amp; Rechnung)</t>
        </is>
      </c>
    </row>
    <row r="6" ht="19.5" customHeight="1" s="30">
      <c r="A6" s="38" t="inlineStr">
        <is>
          <t>VAL-02</t>
        </is>
      </c>
      <c r="B6" s="39" t="inlineStr">
        <is>
          <t>Lager-/Wellenpassungen 6003-2RS &amp; 6002-2RS (REV-02/03)</t>
        </is>
      </c>
      <c r="C6" s="38" t="inlineStr">
        <is>
          <t>Herstellerdaten + CAD</t>
        </is>
      </c>
      <c r="D6" s="39" t="inlineStr">
        <is>
          <t>Abgleich mit SKF-Katalog (6003 d=17/D=35; 6002 d=15/D=32)</t>
        </is>
      </c>
      <c r="E6" s="39" t="inlineStr">
        <is>
          <t>Welle Ø17,00 k5 / Ø15,00 k5, Gehäuse Ø35 H7 / Ø32 H7</t>
        </is>
      </c>
      <c r="F6" s="39" t="inlineStr">
        <is>
          <t>Passungsmessung nach CNC-Fertigung</t>
        </is>
      </c>
      <c r="G6" s="39" t="inlineStr">
        <is>
          <t>Konflikt aus v1.0 vollständig behoben</t>
        </is>
      </c>
      <c r="H6" s="37" t="inlineStr">
        <is>
          <t>FREIGEGEBEN (ISO-Passung)</t>
        </is>
      </c>
    </row>
    <row r="7" ht="19.5" customHeight="1" s="30">
      <c r="A7" s="34" t="inlineStr">
        <is>
          <t>VAL-03</t>
        </is>
      </c>
      <c r="B7" s="35" t="inlineStr">
        <is>
          <t>Biegefestigkeit Kragarm-Führungsachse (REV-02)</t>
        </is>
      </c>
      <c r="C7" s="34" t="inlineStr">
        <is>
          <t>Berechnung + CAD</t>
        </is>
      </c>
      <c r="D7" s="35" t="inlineStr">
        <is>
          <t>Biegenachweis C45E bei F_max = 169,7 N an Spur 4 (X=97)</t>
        </is>
      </c>
      <c r="E7" s="35" t="inlineStr">
        <is>
          <t>sigma_max = 62,0 MPa (SF = 6,94), f_max = 0,19 mm</t>
        </is>
      </c>
      <c r="F7" s="35" t="inlineStr">
        <is>
          <t>Belastungstest mit 15 kg Prüflast am Rollenende</t>
        </is>
      </c>
      <c r="G7" s="35" t="inlineStr">
        <is>
          <t>Konflikt aus v1.0 (SF=1,05) behoben</t>
        </is>
      </c>
      <c r="H7" s="37" t="inlineStr">
        <is>
          <t>VALIDIERT (CAD &amp; Rechnung)</t>
        </is>
      </c>
    </row>
    <row r="8" ht="19.5" customHeight="1" s="30">
      <c r="A8" s="38" t="inlineStr">
        <is>
          <t>VAL-04</t>
        </is>
      </c>
      <c r="B8" s="39" t="inlineStr">
        <is>
          <t>Drehmomentübertragung Spindel-Nabe (REV-03)</t>
        </is>
      </c>
      <c r="C8" s="38" t="inlineStr">
        <is>
          <t>Berechnung + CAD</t>
        </is>
      </c>
      <c r="D8" s="39" t="inlineStr">
        <is>
          <t>Nachweis M6-Querschraube FK 8.8 bei X=-9 mm unter 20 Nm</t>
        </is>
      </c>
      <c r="E8" s="39" t="inlineStr">
        <is>
          <t>tau_shear = 41,6 MPa (SF = 9,23), sigma_vM_net = 74,1 MPa</t>
        </is>
      </c>
      <c r="F8" s="39" t="inlineStr">
        <is>
          <t>Dauerlasttest 500 Wickelzyklen unter Kupplungsauslösung</t>
        </is>
      </c>
      <c r="G8" s="39" t="inlineStr">
        <is>
          <t>Formschnittige Mitnahme nachgewiesen</t>
        </is>
      </c>
      <c r="H8" s="37" t="inlineStr">
        <is>
          <t>VALIDIERT (CAD &amp; Rechnung)</t>
        </is>
      </c>
    </row>
    <row r="9" ht="19.5" customHeight="1" s="30">
      <c r="A9" s="34" t="inlineStr">
        <is>
          <t>VAL-05</t>
        </is>
      </c>
      <c r="B9" s="35" t="inlineStr">
        <is>
          <t>Reaktionsmoment-Abstützung Bohrschrauber (REV-04)</t>
        </is>
      </c>
      <c r="C9" s="34" t="inlineStr">
        <is>
          <t>Berechnung + CAD</t>
        </is>
      </c>
      <c r="D9" s="35" t="inlineStr">
        <is>
          <t>Konstruktion Stützbock P-21 für 20 Nm (F_grip = 235,3 N)</t>
        </is>
      </c>
      <c r="E9" s="35" t="inlineStr">
        <is>
          <t>sigma_b = 29,4 MPa (SF = 8,16), Trigger &amp; Akku frei</t>
        </is>
      </c>
      <c r="F9" s="35" t="inlineStr">
        <is>
          <t>Ergonomie- und Einspanntest mit realem INGCO CIDLI12206</t>
        </is>
      </c>
      <c r="G9" s="35" t="inlineStr">
        <is>
          <t>Physisches Ausmessen des CIDLI12206-Gehäuses vor Fräsen</t>
        </is>
      </c>
      <c r="H9" s="41" t="inlineStr">
        <is>
          <t>BEDINGT (Geometrieabgleich Schrauber)</t>
        </is>
      </c>
    </row>
    <row r="10" ht="19.5" customHeight="1" s="30">
      <c r="A10" s="38" t="inlineStr">
        <is>
          <t>VAL-06</t>
        </is>
      </c>
      <c r="B10" s="39" t="inlineStr">
        <is>
          <t>Bodenfreiheit aller Befestiger &gt;= 12 mm (REV-05)</t>
        </is>
      </c>
      <c r="C10" s="38" t="inlineStr">
        <is>
          <t>CAD-Kollisionsprüfung</t>
        </is>
      </c>
      <c r="D10" s="39" t="inlineStr">
        <is>
          <t>Fußplatte auf Z=12..18 angehoben, M6-Schrauben in +Z gedreht</t>
        </is>
      </c>
      <c r="E10" s="39" t="inlineStr">
        <is>
          <t>Min. Schraubenkopfhöhe Z = 8..12 mm versenkt, 0 mm Überstand</t>
        </is>
      </c>
      <c r="F10" s="39" t="inlineStr">
        <is>
          <t>Sichtprüfung am montierten Rahmen</t>
        </is>
      </c>
      <c r="G10" s="39" t="inlineStr">
        <is>
          <t>Vollständig gelöst</t>
        </is>
      </c>
      <c r="H10" s="37" t="inlineStr">
        <is>
          <t>FREIGEGEBEN (CAD-geprüft)</t>
        </is>
      </c>
    </row>
    <row r="11" ht="19.5" customHeight="1" s="30">
      <c r="A11" s="34" t="inlineStr">
        <is>
          <t>VAL-07</t>
        </is>
      </c>
      <c r="B11" s="35" t="inlineStr">
        <is>
          <t>Umreifung &amp; axiale Rollenentnahme in +X (REV-01)</t>
        </is>
      </c>
      <c r="C11" s="34" t="inlineStr">
        <is>
          <t>CAD-Kinematikprüfung</t>
        </is>
      </c>
      <c r="D11" s="35" t="inlineStr">
        <is>
          <t>3 Schlitze 16x58 mm in P-01/P-04 + 3 Kanäle 16x6 in P-02</t>
        </is>
      </c>
      <c r="E11" s="35" t="inlineStr">
        <is>
          <t>2,0°-Konus gibt nach 5 mm Abzug 0,17 mm radiales Spiel frei</t>
        </is>
      </c>
      <c r="F11" s="35" t="inlineStr">
        <is>
          <t>Abziehkraftmessung einer stramm gewickelten 40m-Rolle</t>
        </is>
      </c>
      <c r="G11" s="35" t="inlineStr">
        <is>
          <t>Konstruktiver Pfad frei nachgewiesen</t>
        </is>
      </c>
      <c r="H11" s="37" t="inlineStr">
        <is>
          <t>VALIDIERT (Physischer Abziehtest offen)</t>
        </is>
      </c>
    </row>
    <row r="12" ht="19.5" customHeight="1" s="30">
      <c r="A12" s="38" t="inlineStr">
        <is>
          <t>RISK-01</t>
        </is>
      </c>
      <c r="B12" s="39" t="inlineStr">
        <is>
          <t>Kinematik: Stationärer Ventilanschluss beim Wickeln</t>
        </is>
      </c>
      <c r="C12" s="38" t="inlineStr">
        <is>
          <t>Kinematische Analyse</t>
        </is>
      </c>
      <c r="D12" s="39" t="inlineStr">
        <is>
          <t>Drehende Trommel (86,8 Umdr.) vs. festes Ventil bei Y=-262 mm</t>
        </is>
      </c>
      <c r="E12" s="39" t="inlineStr">
        <is>
          <t>Festes Ventilende darf sich NICHT 86,8x mitdrehen!</t>
        </is>
      </c>
      <c r="F12" s="39" t="inlineStr">
        <is>
          <t>Feldprozess festlegen: Wickeln vom freien Feldende zum Ventil + Parken in Klemme P-22</t>
        </is>
      </c>
      <c r="G12" s="39" t="inlineStr">
        <is>
          <t>SPERRPUNKT falls Wickeln vom Ventilende ohne Drehdurchführung gefordert!</t>
        </is>
      </c>
      <c r="H12" s="41" t="inlineStr">
        <is>
          <t>OFFEN (Betriebsmodus bestätigen)</t>
        </is>
      </c>
    </row>
    <row r="13" ht="19.5" customHeight="1" s="30">
      <c r="A13" s="34" t="inlineStr">
        <is>
          <t>RISK-02</t>
        </is>
      </c>
      <c r="B13" s="35" t="inlineStr">
        <is>
          <t>Drehzahlreduzierung für 3–5 min Wickelzeit</t>
        </is>
      </c>
      <c r="C13" s="34" t="inlineStr">
        <is>
          <t>Antriebsrechnung</t>
        </is>
      </c>
      <c r="D13" s="35" t="inlineStr">
        <is>
          <t>86,8 Umdr. in 4 min erfordert 21,7 rpm; Schrauber hat 0–400 rpm</t>
        </is>
      </c>
      <c r="E13" s="35" t="inlineStr">
        <is>
          <t>Direktantrieb bei 400 rpm wickelt in 13 s (18x zu schnell!)</t>
        </is>
      </c>
      <c r="F13" s="35" t="inlineStr">
        <is>
          <t>Vorsatz-Planetengetriebe i=16:1 (3/8"-Aufnahme) oder Drehzahlbegrenzer testen</t>
        </is>
      </c>
      <c r="G13" s="35" t="inlineStr">
        <is>
          <t>SPERRPUNKT für Serienfreigabe ohne Untersetzung i=12..16:1</t>
        </is>
      </c>
      <c r="H13" s="41" t="inlineStr">
        <is>
          <t>OFFEN (Getriebestufe ergänzen)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2026-10-17T14:37:54Z</dcterms:created>
  <dcterms:modified xmlns:dcterms="http://purl.org/dc/terms/" xmlns:xsi="http://www.w3.org/2001/XMLSchema-instance" xsi:type="dcterms:W3CDTF">2026-10-19T04:50:51Z</dcterms:modified>
  <cp:revision>0</cp:revision>
</cp:coreProperties>
</file>